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hub\jasityonline\repositories\r71-ksw\private\"/>
    </mc:Choice>
  </mc:AlternateContent>
  <xr:revisionPtr revIDLastSave="0" documentId="8_{AB8AA9B1-A3F2-4AE5-9596-4DB4B4C4C270}" xr6:coauthVersionLast="47" xr6:coauthVersionMax="47" xr10:uidLastSave="{00000000-0000-0000-0000-000000000000}"/>
  <bookViews>
    <workbookView xWindow="-60120" yWindow="-15075" windowWidth="21840" windowHeight="37920" firstSheet="6" activeTab="19" xr2:uid="{5FD8930F-E63E-4369-901F-1A07DC260145}"/>
  </bookViews>
  <sheets>
    <sheet name="BIO" sheetId="16" r:id="rId1"/>
    <sheet name="Rollup" sheetId="21" r:id="rId2"/>
    <sheet name="Testing Chart" sheetId="19" r:id="rId3"/>
    <sheet name="White Belt" sheetId="23" r:id="rId4"/>
    <sheet name="Yellow Stripe" sheetId="1" r:id="rId5"/>
    <sheet name="Yellow Belt" sheetId="24" r:id="rId6"/>
    <sheet name="blue stripe" sheetId="3" r:id="rId7"/>
    <sheet name="blue belt" sheetId="25" r:id="rId8"/>
    <sheet name="red stripe" sheetId="4" r:id="rId9"/>
    <sheet name="red belt" sheetId="26" r:id="rId10"/>
    <sheet name="Red Stripe Belt" sheetId="5" r:id="rId11"/>
    <sheet name="Brown Belt" sheetId="6" r:id="rId12"/>
    <sheet name="1 Black Stripe" sheetId="28" r:id="rId13"/>
    <sheet name="2 Black Stripes" sheetId="7" r:id="rId14"/>
    <sheet name="3 Black Stripes" sheetId="9" r:id="rId15"/>
    <sheet name="4 Black Stripes" sheetId="10" r:id="rId16"/>
    <sheet name="5 Black Stripes" sheetId="11" r:id="rId17"/>
    <sheet name="6 Black Stripes" sheetId="17" r:id="rId18"/>
    <sheet name="7 Black Stripes" sheetId="18" r:id="rId19"/>
    <sheet name="8 Black Stripes" sheetId="14" r:id="rId20"/>
  </sheets>
  <definedNames>
    <definedName name="Target">'Testing Chart'!$P$2:$S$18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19" l="1"/>
  <c r="Q18" i="19"/>
  <c r="S16" i="19"/>
  <c r="S17" i="19" s="1"/>
  <c r="S2" i="19"/>
  <c r="S3" i="19" s="1"/>
  <c r="B23" i="18"/>
  <c r="B22" i="18"/>
  <c r="S18" i="19" l="1"/>
  <c r="Q3" i="19"/>
  <c r="S4" i="19"/>
  <c r="B49" i="28"/>
  <c r="B48" i="28"/>
  <c r="B47" i="28"/>
  <c r="B39" i="28"/>
  <c r="D39" i="28" s="1"/>
  <c r="B38" i="28"/>
  <c r="D38" i="28" s="1"/>
  <c r="B37" i="28"/>
  <c r="D37" i="28" s="1"/>
  <c r="B36" i="28"/>
  <c r="D36" i="28" s="1"/>
  <c r="B35" i="28"/>
  <c r="D35" i="28" s="1"/>
  <c r="B34" i="28"/>
  <c r="D34" i="28" s="1"/>
  <c r="B33" i="28"/>
  <c r="D33" i="28" s="1"/>
  <c r="B32" i="28"/>
  <c r="D32" i="28" s="1"/>
  <c r="B31" i="28"/>
  <c r="D31" i="28" s="1"/>
  <c r="B30" i="28"/>
  <c r="D30" i="28" s="1"/>
  <c r="B29" i="28"/>
  <c r="D29" i="28" s="1"/>
  <c r="B28" i="28"/>
  <c r="D28" i="28" s="1"/>
  <c r="B27" i="28"/>
  <c r="D27" i="28" s="1"/>
  <c r="B26" i="28"/>
  <c r="D26" i="28" s="1"/>
  <c r="B25" i="28"/>
  <c r="D25" i="28" s="1"/>
  <c r="D1" i="28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8" i="5"/>
  <c r="D68" i="5" s="1"/>
  <c r="B67" i="5"/>
  <c r="D67" i="5" s="1"/>
  <c r="B66" i="5"/>
  <c r="D66" i="5" s="1"/>
  <c r="B65" i="5"/>
  <c r="D65" i="5" s="1"/>
  <c r="B64" i="5"/>
  <c r="D64" i="5" s="1"/>
  <c r="B63" i="5"/>
  <c r="D63" i="5" s="1"/>
  <c r="B62" i="5"/>
  <c r="D62" i="5" s="1"/>
  <c r="B61" i="5"/>
  <c r="D61" i="5" s="1"/>
  <c r="B60" i="5"/>
  <c r="D60" i="5" s="1"/>
  <c r="B49" i="5"/>
  <c r="D49" i="5" s="1"/>
  <c r="B11" i="26"/>
  <c r="D11" i="26" s="1"/>
  <c r="B35" i="26"/>
  <c r="D35" i="26" s="1"/>
  <c r="B34" i="26"/>
  <c r="D34" i="26" s="1"/>
  <c r="B46" i="3"/>
  <c r="D46" i="3" s="1"/>
  <c r="B45" i="3"/>
  <c r="D45" i="3" s="1"/>
  <c r="B84" i="23"/>
  <c r="D84" i="23" s="1"/>
  <c r="B29" i="14"/>
  <c r="D29" i="14" s="1"/>
  <c r="B28" i="14"/>
  <c r="D28" i="14" s="1"/>
  <c r="B27" i="14"/>
  <c r="D27" i="14" s="1"/>
  <c r="B26" i="14"/>
  <c r="D26" i="14" s="1"/>
  <c r="B25" i="14"/>
  <c r="D25" i="14" s="1"/>
  <c r="B27" i="17"/>
  <c r="B26" i="17"/>
  <c r="B25" i="17"/>
  <c r="B24" i="17"/>
  <c r="B23" i="17"/>
  <c r="B35" i="18"/>
  <c r="B34" i="18"/>
  <c r="B33" i="18"/>
  <c r="B32" i="18"/>
  <c r="B31" i="18"/>
  <c r="B30" i="18"/>
  <c r="B29" i="18"/>
  <c r="B28" i="18"/>
  <c r="B39" i="18"/>
  <c r="B40" i="18"/>
  <c r="B41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3" i="11"/>
  <c r="B32" i="11"/>
  <c r="B42" i="10"/>
  <c r="B41" i="10"/>
  <c r="B61" i="24"/>
  <c r="D61" i="24" s="1"/>
  <c r="B60" i="24"/>
  <c r="D60" i="24" s="1"/>
  <c r="B21" i="4"/>
  <c r="D21" i="4" s="1"/>
  <c r="B25" i="25"/>
  <c r="D25" i="25" s="1"/>
  <c r="B24" i="3"/>
  <c r="D24" i="3" s="1"/>
  <c r="B29" i="24"/>
  <c r="D29" i="24" s="1"/>
  <c r="B30" i="1"/>
  <c r="D30" i="1" s="1"/>
  <c r="B35" i="23"/>
  <c r="D35" i="23" s="1"/>
  <c r="B20" i="4"/>
  <c r="D20" i="4" s="1"/>
  <c r="B29" i="1"/>
  <c r="D29" i="1" s="1"/>
  <c r="B34" i="23"/>
  <c r="D34" i="23" s="1"/>
  <c r="B24" i="25"/>
  <c r="D24" i="25" s="1"/>
  <c r="B33" i="24"/>
  <c r="D33" i="24" s="1"/>
  <c r="B40" i="1"/>
  <c r="D40" i="1" s="1"/>
  <c r="B31" i="23"/>
  <c r="D31" i="23" s="1"/>
  <c r="B26" i="1"/>
  <c r="D26" i="1" s="1"/>
  <c r="B25" i="1"/>
  <c r="D25" i="1" s="1"/>
  <c r="B46" i="1"/>
  <c r="D46" i="1" s="1"/>
  <c r="B28" i="4"/>
  <c r="D28" i="4" s="1"/>
  <c r="B31" i="4"/>
  <c r="D31" i="4" s="1"/>
  <c r="B30" i="4"/>
  <c r="D30" i="4" s="1"/>
  <c r="B29" i="4"/>
  <c r="D29" i="4" s="1"/>
  <c r="B30" i="3"/>
  <c r="D30" i="3" s="1"/>
  <c r="B46" i="24"/>
  <c r="D46" i="24" s="1"/>
  <c r="B41" i="24"/>
  <c r="D41" i="24" s="1"/>
  <c r="B39" i="24"/>
  <c r="D39" i="24" s="1"/>
  <c r="B36" i="24"/>
  <c r="D36" i="24" s="1"/>
  <c r="B44" i="24"/>
  <c r="D44" i="24" s="1"/>
  <c r="B83" i="23"/>
  <c r="D83" i="23" s="1"/>
  <c r="B40" i="24"/>
  <c r="D40" i="24" s="1"/>
  <c r="B38" i="1"/>
  <c r="D38" i="1" s="1"/>
  <c r="B45" i="24"/>
  <c r="D45" i="24" s="1"/>
  <c r="B37" i="24"/>
  <c r="D37" i="24" s="1"/>
  <c r="B43" i="24"/>
  <c r="D43" i="24" s="1"/>
  <c r="B38" i="24"/>
  <c r="D38" i="24" s="1"/>
  <c r="B42" i="24"/>
  <c r="D42" i="24" s="1"/>
  <c r="B91" i="23"/>
  <c r="D91" i="23" s="1"/>
  <c r="B85" i="23"/>
  <c r="D85" i="23" s="1"/>
  <c r="B41" i="1"/>
  <c r="D41" i="1" s="1"/>
  <c r="B43" i="1"/>
  <c r="D43" i="1" s="1"/>
  <c r="B42" i="1"/>
  <c r="D42" i="1" s="1"/>
  <c r="B82" i="23"/>
  <c r="D82" i="23" s="1"/>
  <c r="B22" i="5"/>
  <c r="D22" i="5" s="1"/>
  <c r="B29" i="5"/>
  <c r="D29" i="5" s="1"/>
  <c r="B28" i="5"/>
  <c r="D28" i="5" s="1"/>
  <c r="B27" i="5"/>
  <c r="D27" i="5" s="1"/>
  <c r="B26" i="5"/>
  <c r="D26" i="5" s="1"/>
  <c r="B22" i="26"/>
  <c r="D22" i="26" s="1"/>
  <c r="B23" i="26"/>
  <c r="D23" i="26" s="1"/>
  <c r="B39" i="25"/>
  <c r="D39" i="25" s="1"/>
  <c r="B49" i="1"/>
  <c r="D49" i="1" s="1"/>
  <c r="B35" i="3"/>
  <c r="D35" i="3" s="1"/>
  <c r="B48" i="1"/>
  <c r="D48" i="1" s="1"/>
  <c r="B98" i="23"/>
  <c r="D98" i="23" s="1"/>
  <c r="B38" i="25"/>
  <c r="D38" i="25" s="1"/>
  <c r="B35" i="4"/>
  <c r="D35" i="4" s="1"/>
  <c r="B34" i="4"/>
  <c r="D34" i="4" s="1"/>
  <c r="B39" i="1"/>
  <c r="D39" i="1" s="1"/>
  <c r="B86" i="23"/>
  <c r="D86" i="23" s="1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97" i="23"/>
  <c r="D97" i="23" s="1"/>
  <c r="B96" i="23"/>
  <c r="D96" i="23" s="1"/>
  <c r="B95" i="23"/>
  <c r="D95" i="23" s="1"/>
  <c r="B25" i="5"/>
  <c r="D25" i="5" s="1"/>
  <c r="B19" i="26"/>
  <c r="D19" i="26" s="1"/>
  <c r="B32" i="25"/>
  <c r="D32" i="25" s="1"/>
  <c r="B35" i="25"/>
  <c r="D35" i="25" s="1"/>
  <c r="B34" i="25"/>
  <c r="D34" i="25" s="1"/>
  <c r="B33" i="25"/>
  <c r="D33" i="25" s="1"/>
  <c r="B32" i="3"/>
  <c r="D32" i="3" s="1"/>
  <c r="B31" i="3"/>
  <c r="D31" i="3" s="1"/>
  <c r="B47" i="1"/>
  <c r="D47" i="1" s="1"/>
  <c r="B37" i="1"/>
  <c r="D37" i="1" s="1"/>
  <c r="B21" i="1"/>
  <c r="D21" i="1" s="1"/>
  <c r="B22" i="23"/>
  <c r="D22" i="23" s="1"/>
  <c r="B23" i="3"/>
  <c r="D23" i="3" s="1"/>
  <c r="B28" i="24"/>
  <c r="D28" i="24" s="1"/>
  <c r="B16" i="1"/>
  <c r="D16" i="1" s="1"/>
  <c r="B17" i="1"/>
  <c r="D17" i="1" s="1"/>
  <c r="B21" i="23"/>
  <c r="D21" i="23" s="1"/>
  <c r="B11" i="1"/>
  <c r="D11" i="1" s="1"/>
  <c r="B18" i="1"/>
  <c r="D18" i="1" s="1"/>
  <c r="B14" i="1"/>
  <c r="D14" i="1" s="1"/>
  <c r="B16" i="23"/>
  <c r="D16" i="23" s="1"/>
  <c r="B43" i="23"/>
  <c r="D43" i="23" s="1"/>
  <c r="B42" i="23"/>
  <c r="D42" i="23" s="1"/>
  <c r="B41" i="23"/>
  <c r="D41" i="23" s="1"/>
  <c r="B40" i="23"/>
  <c r="D40" i="23" s="1"/>
  <c r="B39" i="23"/>
  <c r="D39" i="23" s="1"/>
  <c r="B38" i="23"/>
  <c r="D38" i="23" s="1"/>
  <c r="B19" i="3"/>
  <c r="D19" i="3" s="1"/>
  <c r="B18" i="3"/>
  <c r="D18" i="3" s="1"/>
  <c r="B12" i="1"/>
  <c r="D12" i="1" s="1"/>
  <c r="B20" i="1"/>
  <c r="D20" i="1" s="1"/>
  <c r="B27" i="3"/>
  <c r="D27" i="3" s="1"/>
  <c r="B5" i="14"/>
  <c r="D5" i="14" s="1"/>
  <c r="B10" i="7"/>
  <c r="D10" i="7" s="1"/>
  <c r="B40" i="26"/>
  <c r="D40" i="26" s="1"/>
  <c r="B39" i="26"/>
  <c r="D39" i="26" s="1"/>
  <c r="B38" i="26"/>
  <c r="D38" i="26" s="1"/>
  <c r="B31" i="26"/>
  <c r="D31" i="26" s="1"/>
  <c r="B30" i="26"/>
  <c r="D30" i="26" s="1"/>
  <c r="B29" i="26"/>
  <c r="D29" i="26" s="1"/>
  <c r="B28" i="26"/>
  <c r="D28" i="26" s="1"/>
  <c r="B27" i="26"/>
  <c r="D27" i="26" s="1"/>
  <c r="B26" i="26"/>
  <c r="D26" i="26" s="1"/>
  <c r="B16" i="26"/>
  <c r="D16" i="26" s="1"/>
  <c r="D1" i="26"/>
  <c r="B24" i="4"/>
  <c r="D24" i="4" s="1"/>
  <c r="B28" i="25"/>
  <c r="D28" i="25" s="1"/>
  <c r="B57" i="25"/>
  <c r="D57" i="25" s="1"/>
  <c r="B56" i="25"/>
  <c r="D56" i="25" s="1"/>
  <c r="B55" i="25"/>
  <c r="D55" i="25" s="1"/>
  <c r="B47" i="25"/>
  <c r="D47" i="25" s="1"/>
  <c r="B46" i="25"/>
  <c r="D46" i="25" s="1"/>
  <c r="B45" i="25"/>
  <c r="D45" i="25" s="1"/>
  <c r="B44" i="25"/>
  <c r="D44" i="25" s="1"/>
  <c r="B43" i="25"/>
  <c r="D43" i="25" s="1"/>
  <c r="B42" i="25"/>
  <c r="D42" i="25" s="1"/>
  <c r="B29" i="25"/>
  <c r="D29" i="25" s="1"/>
  <c r="D1" i="25"/>
  <c r="B65" i="24"/>
  <c r="D65" i="24" s="1"/>
  <c r="B57" i="24"/>
  <c r="D57" i="24" s="1"/>
  <c r="B56" i="24"/>
  <c r="D56" i="24" s="1"/>
  <c r="B55" i="24"/>
  <c r="D55" i="24" s="1"/>
  <c r="B54" i="24"/>
  <c r="D54" i="24" s="1"/>
  <c r="B53" i="24"/>
  <c r="D53" i="24" s="1"/>
  <c r="B52" i="24"/>
  <c r="D52" i="24" s="1"/>
  <c r="B32" i="24"/>
  <c r="D32" i="24" s="1"/>
  <c r="D1" i="24"/>
  <c r="B148" i="23"/>
  <c r="D148" i="23" s="1"/>
  <c r="B140" i="23"/>
  <c r="D140" i="23" s="1"/>
  <c r="B124" i="23"/>
  <c r="D124" i="23" s="1"/>
  <c r="B119" i="23"/>
  <c r="D119" i="23" s="1"/>
  <c r="B118" i="23"/>
  <c r="D118" i="23" s="1"/>
  <c r="B117" i="23"/>
  <c r="D117" i="23" s="1"/>
  <c r="B116" i="23"/>
  <c r="D116" i="23" s="1"/>
  <c r="B115" i="23"/>
  <c r="D115" i="23" s="1"/>
  <c r="B112" i="23"/>
  <c r="D112" i="23" s="1"/>
  <c r="B111" i="23"/>
  <c r="D111" i="23" s="1"/>
  <c r="B110" i="23"/>
  <c r="D110" i="23" s="1"/>
  <c r="B109" i="23"/>
  <c r="D109" i="23" s="1"/>
  <c r="B108" i="23"/>
  <c r="D108" i="23" s="1"/>
  <c r="B105" i="23"/>
  <c r="D105" i="23" s="1"/>
  <c r="B104" i="23"/>
  <c r="D104" i="23" s="1"/>
  <c r="B103" i="23"/>
  <c r="D103" i="23" s="1"/>
  <c r="B102" i="23"/>
  <c r="D102" i="23" s="1"/>
  <c r="B101" i="23"/>
  <c r="D101" i="23" s="1"/>
  <c r="B92" i="23"/>
  <c r="D92" i="23" s="1"/>
  <c r="B89" i="23"/>
  <c r="D89" i="23" s="1"/>
  <c r="B90" i="23"/>
  <c r="D90" i="23" s="1"/>
  <c r="B88" i="23"/>
  <c r="D88" i="23" s="1"/>
  <c r="B87" i="23"/>
  <c r="D87" i="23" s="1"/>
  <c r="B79" i="23"/>
  <c r="D79" i="23" s="1"/>
  <c r="B78" i="23"/>
  <c r="D78" i="23" s="1"/>
  <c r="B77" i="23"/>
  <c r="D77" i="23" s="1"/>
  <c r="B76" i="23"/>
  <c r="D76" i="23" s="1"/>
  <c r="B75" i="23"/>
  <c r="D75" i="23" s="1"/>
  <c r="B74" i="23"/>
  <c r="D74" i="23" s="1"/>
  <c r="B73" i="23"/>
  <c r="D73" i="23" s="1"/>
  <c r="B72" i="23"/>
  <c r="D72" i="23" s="1"/>
  <c r="B71" i="23"/>
  <c r="D71" i="23" s="1"/>
  <c r="B70" i="23"/>
  <c r="D70" i="23" s="1"/>
  <c r="B69" i="23"/>
  <c r="D69" i="23" s="1"/>
  <c r="B68" i="23"/>
  <c r="D68" i="23" s="1"/>
  <c r="B67" i="23"/>
  <c r="D67" i="23" s="1"/>
  <c r="B66" i="23"/>
  <c r="D66" i="23" s="1"/>
  <c r="B65" i="23"/>
  <c r="D65" i="23" s="1"/>
  <c r="B64" i="23"/>
  <c r="D64" i="23" s="1"/>
  <c r="B63" i="23"/>
  <c r="D63" i="23" s="1"/>
  <c r="B62" i="23"/>
  <c r="D62" i="23" s="1"/>
  <c r="B61" i="23"/>
  <c r="D61" i="23" s="1"/>
  <c r="B60" i="23"/>
  <c r="D60" i="23" s="1"/>
  <c r="B59" i="23"/>
  <c r="D59" i="23" s="1"/>
  <c r="B58" i="23"/>
  <c r="D58" i="23" s="1"/>
  <c r="B57" i="23"/>
  <c r="D57" i="23" s="1"/>
  <c r="B56" i="23"/>
  <c r="D56" i="23" s="1"/>
  <c r="B55" i="23"/>
  <c r="D55" i="23" s="1"/>
  <c r="B54" i="23"/>
  <c r="D54" i="23" s="1"/>
  <c r="B53" i="23"/>
  <c r="D53" i="23" s="1"/>
  <c r="B52" i="23"/>
  <c r="D52" i="23" s="1"/>
  <c r="B51" i="23"/>
  <c r="D51" i="23" s="1"/>
  <c r="B50" i="23"/>
  <c r="D50" i="23" s="1"/>
  <c r="B49" i="23"/>
  <c r="D49" i="23" s="1"/>
  <c r="B48" i="23"/>
  <c r="D48" i="23" s="1"/>
  <c r="B47" i="23"/>
  <c r="D47" i="23" s="1"/>
  <c r="B46" i="23"/>
  <c r="D46" i="23" s="1"/>
  <c r="B30" i="23"/>
  <c r="D30" i="23" s="1"/>
  <c r="B29" i="23"/>
  <c r="D29" i="23" s="1"/>
  <c r="B28" i="23"/>
  <c r="D28" i="23" s="1"/>
  <c r="B27" i="23"/>
  <c r="D27" i="23" s="1"/>
  <c r="B26" i="23"/>
  <c r="D26" i="23" s="1"/>
  <c r="B19" i="23"/>
  <c r="D19" i="23" s="1"/>
  <c r="B18" i="23"/>
  <c r="D18" i="23" s="1"/>
  <c r="B14" i="23"/>
  <c r="D14" i="23" s="1"/>
  <c r="B13" i="23"/>
  <c r="D13" i="23" s="1"/>
  <c r="B12" i="23"/>
  <c r="D12" i="23" s="1"/>
  <c r="D2" i="23"/>
  <c r="D3" i="23" s="1"/>
  <c r="D1" i="23"/>
  <c r="B1" i="23"/>
  <c r="B19" i="5"/>
  <c r="D19" i="5" s="1"/>
  <c r="B25" i="4"/>
  <c r="D25" i="4" s="1"/>
  <c r="B33" i="1"/>
  <c r="D33" i="1" s="1"/>
  <c r="B34" i="1"/>
  <c r="D34" i="1" s="1"/>
  <c r="B13" i="21"/>
  <c r="D13" i="21" s="1"/>
  <c r="B12" i="21"/>
  <c r="D12" i="21" s="1"/>
  <c r="B11" i="21"/>
  <c r="D11" i="21" s="1"/>
  <c r="B10" i="21"/>
  <c r="D10" i="21" s="1"/>
  <c r="B9" i="21"/>
  <c r="D9" i="21" s="1"/>
  <c r="B32" i="21"/>
  <c r="D32" i="21" s="1"/>
  <c r="B30" i="21"/>
  <c r="D30" i="21" s="1"/>
  <c r="B29" i="21"/>
  <c r="D29" i="21" s="1"/>
  <c r="B28" i="21"/>
  <c r="D28" i="21" s="1"/>
  <c r="B27" i="21"/>
  <c r="D27" i="21" s="1"/>
  <c r="B26" i="21"/>
  <c r="D26" i="21" s="1"/>
  <c r="B49" i="21"/>
  <c r="D49" i="21" s="1"/>
  <c r="B57" i="21"/>
  <c r="D57" i="21" s="1"/>
  <c r="B55" i="21"/>
  <c r="D55" i="21" s="1"/>
  <c r="B53" i="21"/>
  <c r="D53" i="21" s="1"/>
  <c r="B40" i="21"/>
  <c r="D40" i="21" s="1"/>
  <c r="B39" i="21"/>
  <c r="D39" i="21" s="1"/>
  <c r="B38" i="21"/>
  <c r="D38" i="21" s="1"/>
  <c r="B37" i="21"/>
  <c r="D37" i="21" s="1"/>
  <c r="B36" i="21"/>
  <c r="D36" i="21" s="1"/>
  <c r="B35" i="21"/>
  <c r="D35" i="21" s="1"/>
  <c r="B34" i="21"/>
  <c r="D34" i="21" s="1"/>
  <c r="B33" i="21"/>
  <c r="D33" i="21" s="1"/>
  <c r="B31" i="21"/>
  <c r="D31" i="21" s="1"/>
  <c r="B51" i="21"/>
  <c r="D51" i="21" s="1"/>
  <c r="B47" i="21"/>
  <c r="D47" i="21" s="1"/>
  <c r="B21" i="21"/>
  <c r="D21" i="21" s="1"/>
  <c r="B20" i="21"/>
  <c r="D20" i="21" s="1"/>
  <c r="B19" i="21"/>
  <c r="D19" i="21" s="1"/>
  <c r="B18" i="21"/>
  <c r="D18" i="21" s="1"/>
  <c r="B17" i="21"/>
  <c r="D17" i="21" s="1"/>
  <c r="D2" i="21"/>
  <c r="D3" i="21" s="1"/>
  <c r="B2" i="21"/>
  <c r="D1" i="21"/>
  <c r="B1" i="21"/>
  <c r="S5" i="19" l="1"/>
  <c r="D2" i="3" s="1"/>
  <c r="Q4" i="19"/>
  <c r="D2" i="24"/>
  <c r="D3" i="24" s="1"/>
  <c r="B54" i="4"/>
  <c r="B53" i="4"/>
  <c r="B52" i="4"/>
  <c r="B44" i="4"/>
  <c r="D44" i="4" s="1"/>
  <c r="B43" i="4"/>
  <c r="D43" i="4" s="1"/>
  <c r="B42" i="4"/>
  <c r="D42" i="4" s="1"/>
  <c r="B41" i="4"/>
  <c r="D41" i="4" s="1"/>
  <c r="B40" i="4"/>
  <c r="D40" i="4" s="1"/>
  <c r="B39" i="4"/>
  <c r="D39" i="4" s="1"/>
  <c r="B38" i="4"/>
  <c r="D38" i="4" s="1"/>
  <c r="B50" i="3"/>
  <c r="D50" i="3" s="1"/>
  <c r="B92" i="1"/>
  <c r="D92" i="1" s="1"/>
  <c r="B78" i="1"/>
  <c r="D78" i="1" s="1"/>
  <c r="B1" i="1"/>
  <c r="B44" i="9"/>
  <c r="B43" i="9"/>
  <c r="B22" i="11"/>
  <c r="B21" i="11"/>
  <c r="B20" i="11"/>
  <c r="B19" i="11"/>
  <c r="B18" i="11"/>
  <c r="B17" i="11"/>
  <c r="B16" i="11"/>
  <c r="B25" i="10"/>
  <c r="B24" i="10"/>
  <c r="B23" i="10"/>
  <c r="B22" i="10"/>
  <c r="B21" i="10"/>
  <c r="B20" i="10"/>
  <c r="B19" i="10"/>
  <c r="B18" i="10"/>
  <c r="B17" i="10"/>
  <c r="B16" i="10"/>
  <c r="B25" i="9"/>
  <c r="B24" i="9"/>
  <c r="B23" i="9"/>
  <c r="B22" i="9"/>
  <c r="B21" i="9"/>
  <c r="B20" i="9"/>
  <c r="B19" i="9"/>
  <c r="B18" i="9"/>
  <c r="B17" i="9"/>
  <c r="B16" i="9"/>
  <c r="B28" i="11"/>
  <c r="B27" i="11"/>
  <c r="B26" i="11"/>
  <c r="B25" i="11"/>
  <c r="B24" i="11"/>
  <c r="B23" i="11"/>
  <c r="B25" i="18"/>
  <c r="B24" i="18"/>
  <c r="B21" i="18"/>
  <c r="B20" i="18"/>
  <c r="B19" i="18"/>
  <c r="B18" i="18"/>
  <c r="B17" i="18"/>
  <c r="B16" i="18"/>
  <c r="D1" i="18"/>
  <c r="B20" i="17"/>
  <c r="B19" i="17"/>
  <c r="B18" i="17"/>
  <c r="B17" i="17"/>
  <c r="B16" i="17"/>
  <c r="D1" i="17"/>
  <c r="D1" i="14"/>
  <c r="D1" i="11"/>
  <c r="D1" i="10"/>
  <c r="D1" i="9"/>
  <c r="D1" i="7"/>
  <c r="D1" i="6"/>
  <c r="D1" i="5"/>
  <c r="D1" i="4"/>
  <c r="D1" i="3"/>
  <c r="D1" i="1"/>
  <c r="B37" i="7"/>
  <c r="B38" i="7"/>
  <c r="B36" i="14"/>
  <c r="D36" i="14" s="1"/>
  <c r="B35" i="14"/>
  <c r="D35" i="14" s="1"/>
  <c r="B34" i="14"/>
  <c r="D34" i="14" s="1"/>
  <c r="B33" i="14"/>
  <c r="D33" i="14" s="1"/>
  <c r="B32" i="14"/>
  <c r="D32" i="14" s="1"/>
  <c r="B22" i="14"/>
  <c r="D22" i="14" s="1"/>
  <c r="B21" i="14"/>
  <c r="D21" i="14" s="1"/>
  <c r="B20" i="14"/>
  <c r="D20" i="14" s="1"/>
  <c r="B19" i="14"/>
  <c r="D19" i="14" s="1"/>
  <c r="B18" i="14"/>
  <c r="D18" i="14" s="1"/>
  <c r="B39" i="9"/>
  <c r="B38" i="9"/>
  <c r="B31" i="7"/>
  <c r="B32" i="7"/>
  <c r="B33" i="7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35" i="9"/>
  <c r="B34" i="9"/>
  <c r="B33" i="9"/>
  <c r="B32" i="9"/>
  <c r="B31" i="9"/>
  <c r="B30" i="9"/>
  <c r="B29" i="9"/>
  <c r="B28" i="9"/>
  <c r="B27" i="9"/>
  <c r="B26" i="9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26" i="6"/>
  <c r="B57" i="6"/>
  <c r="D57" i="6" s="1"/>
  <c r="B56" i="6"/>
  <c r="D56" i="6" s="1"/>
  <c r="B55" i="6"/>
  <c r="D55" i="6" s="1"/>
  <c r="B54" i="6"/>
  <c r="D54" i="6" s="1"/>
  <c r="B53" i="6"/>
  <c r="D53" i="6" s="1"/>
  <c r="B52" i="6"/>
  <c r="D52" i="6" s="1"/>
  <c r="B51" i="6"/>
  <c r="D51" i="6" s="1"/>
  <c r="B50" i="6"/>
  <c r="D50" i="6" s="1"/>
  <c r="B49" i="6"/>
  <c r="D49" i="6" s="1"/>
  <c r="B48" i="6"/>
  <c r="D48" i="6" s="1"/>
  <c r="B47" i="6"/>
  <c r="D47" i="6" s="1"/>
  <c r="B46" i="6"/>
  <c r="D46" i="6" s="1"/>
  <c r="B45" i="6"/>
  <c r="D45" i="6" s="1"/>
  <c r="B44" i="6"/>
  <c r="D44" i="6" s="1"/>
  <c r="B43" i="6"/>
  <c r="D43" i="6" s="1"/>
  <c r="B67" i="6"/>
  <c r="D67" i="6" s="1"/>
  <c r="B66" i="6"/>
  <c r="D66" i="6" s="1"/>
  <c r="B65" i="6"/>
  <c r="D65" i="6" s="1"/>
  <c r="B46" i="5"/>
  <c r="D46" i="5" s="1"/>
  <c r="B45" i="5"/>
  <c r="D45" i="5" s="1"/>
  <c r="B44" i="5"/>
  <c r="D44" i="5" s="1"/>
  <c r="B43" i="5"/>
  <c r="D43" i="5" s="1"/>
  <c r="B42" i="5"/>
  <c r="D42" i="5" s="1"/>
  <c r="B41" i="5"/>
  <c r="D41" i="5" s="1"/>
  <c r="B40" i="5"/>
  <c r="D40" i="5" s="1"/>
  <c r="B39" i="5"/>
  <c r="D39" i="5" s="1"/>
  <c r="B57" i="5"/>
  <c r="B56" i="5"/>
  <c r="B55" i="5"/>
  <c r="B38" i="5"/>
  <c r="D38" i="5" s="1"/>
  <c r="B37" i="5"/>
  <c r="D37" i="5" s="1"/>
  <c r="B36" i="5"/>
  <c r="D36" i="5" s="1"/>
  <c r="B35" i="5"/>
  <c r="D35" i="5" s="1"/>
  <c r="B34" i="5"/>
  <c r="D34" i="5" s="1"/>
  <c r="B33" i="5"/>
  <c r="D33" i="5" s="1"/>
  <c r="B32" i="5"/>
  <c r="D32" i="5" s="1"/>
  <c r="B42" i="3"/>
  <c r="D42" i="3" s="1"/>
  <c r="B41" i="3"/>
  <c r="D41" i="3" s="1"/>
  <c r="B40" i="3"/>
  <c r="D40" i="3" s="1"/>
  <c r="B39" i="3"/>
  <c r="D39" i="3" s="1"/>
  <c r="B38" i="3"/>
  <c r="D38" i="3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0" i="1"/>
  <c r="D60" i="1" s="1"/>
  <c r="B61" i="1"/>
  <c r="D61" i="1" s="1"/>
  <c r="B65" i="1"/>
  <c r="D65" i="1" s="1"/>
  <c r="B53" i="1"/>
  <c r="D53" i="1" s="1"/>
  <c r="B52" i="1"/>
  <c r="D52" i="1" s="1"/>
  <c r="S6" i="19" l="1"/>
  <c r="Q5" i="19"/>
  <c r="Q6" i="19" l="1"/>
  <c r="S7" i="19"/>
  <c r="D2" i="25"/>
  <c r="D3" i="25" s="1"/>
  <c r="D2" i="14"/>
  <c r="D3" i="14" s="1"/>
  <c r="D2" i="1"/>
  <c r="D3" i="1" s="1"/>
  <c r="Q7" i="19" l="1"/>
  <c r="S8" i="19"/>
  <c r="D2" i="4"/>
  <c r="D3" i="4" s="1"/>
  <c r="S9" i="19" l="1"/>
  <c r="Q8" i="19"/>
  <c r="D2" i="5"/>
  <c r="D3" i="5" s="1"/>
  <c r="S10" i="19" l="1"/>
  <c r="Q9" i="19"/>
  <c r="D2" i="26"/>
  <c r="D3" i="26" s="1"/>
  <c r="D2" i="6"/>
  <c r="D3" i="6" s="1"/>
  <c r="Q10" i="19" l="1"/>
  <c r="S11" i="19"/>
  <c r="D2" i="28"/>
  <c r="D3" i="28" s="1"/>
  <c r="Q11" i="19" l="1"/>
  <c r="S12" i="19"/>
  <c r="S13" i="19" l="1"/>
  <c r="Q12" i="19"/>
  <c r="D2" i="7"/>
  <c r="D3" i="7" s="1"/>
  <c r="D3" i="3"/>
  <c r="S14" i="19" l="1"/>
  <c r="Q13" i="19"/>
  <c r="D2" i="9"/>
  <c r="D3" i="9" s="1"/>
  <c r="Q14" i="19" l="1"/>
  <c r="S15" i="19"/>
  <c r="D2" i="10"/>
  <c r="D3" i="10" s="1"/>
  <c r="Q15" i="19" l="1"/>
  <c r="D3" i="11"/>
  <c r="D2" i="11" s="1"/>
  <c r="D3" i="17" l="1"/>
  <c r="D2" i="17" s="1"/>
  <c r="Q16" i="19"/>
  <c r="D3" i="18" l="1"/>
  <c r="D2" i="18" s="1"/>
</calcChain>
</file>

<file path=xl/sharedStrings.xml><?xml version="1.0" encoding="utf-8"?>
<sst xmlns="http://schemas.openxmlformats.org/spreadsheetml/2006/main" count="2505" uniqueCount="634">
  <si>
    <t>Technique</t>
  </si>
  <si>
    <t>Form</t>
  </si>
  <si>
    <t>Ki Bohn Soo 1-5</t>
  </si>
  <si>
    <t>Yellow Stripe</t>
  </si>
  <si>
    <t>Sohnh Ppae Ki 1-5</t>
  </si>
  <si>
    <t>Testing Date</t>
  </si>
  <si>
    <t>Status</t>
  </si>
  <si>
    <t>Notes:</t>
  </si>
  <si>
    <t>Rank</t>
  </si>
  <si>
    <t>Ki Cho Hyung 1-3</t>
  </si>
  <si>
    <t>Untrained</t>
  </si>
  <si>
    <t>Days Until Eval</t>
  </si>
  <si>
    <t>Days Until Testing</t>
  </si>
  <si>
    <t>Yellow Belt</t>
  </si>
  <si>
    <t>Sohn Mohk Soo</t>
  </si>
  <si>
    <t>Blue Belt</t>
  </si>
  <si>
    <t>Blue Stripe</t>
  </si>
  <si>
    <t>Cho Geup Hyung</t>
  </si>
  <si>
    <t>Red Stripe</t>
  </si>
  <si>
    <t>Red Belt</t>
  </si>
  <si>
    <t>Joong Geup Hyung 1/2</t>
  </si>
  <si>
    <t>Eue Bohk Soo 1-6</t>
  </si>
  <si>
    <t>Eue Bohk Soo 6-13</t>
  </si>
  <si>
    <t xml:space="preserve">Cho Geup Hyung </t>
  </si>
  <si>
    <t>Brown Stripe</t>
  </si>
  <si>
    <t>Brown Belt</t>
  </si>
  <si>
    <t>An Sohn Mok Soo 1-6</t>
  </si>
  <si>
    <t>Maek Chi Ki</t>
  </si>
  <si>
    <t>Maek Cha Ki</t>
  </si>
  <si>
    <t>Goh Geup Hyung 1/2</t>
  </si>
  <si>
    <t>Joo Muhk Maga Ki Bon Soo</t>
  </si>
  <si>
    <t>Dae Geup Hyung 1/2</t>
  </si>
  <si>
    <t>Joong Geup Sohn Mok Soo</t>
  </si>
  <si>
    <t>Ap Eue Bohk Soo</t>
  </si>
  <si>
    <t>Dae Eue Bok Soo</t>
  </si>
  <si>
    <t>Kwahn Juhl Ki</t>
  </si>
  <si>
    <t>Too Ki</t>
  </si>
  <si>
    <t>Mohk Joh Leu Ki</t>
  </si>
  <si>
    <t>Bahng Too Ki</t>
  </si>
  <si>
    <t>Guhm Moo Hyung</t>
  </si>
  <si>
    <t>Start in Left Fighting Stance</t>
  </si>
  <si>
    <t>Right Cross Block; Left Upper Block, Right Punch</t>
  </si>
  <si>
    <t xml:space="preserve">Right Hand Inverted Chop to Neck, Left Hand on Hip </t>
  </si>
  <si>
    <t>Turn Left to Long Front Stance; Left Hand Becomes Target</t>
  </si>
  <si>
    <t>Right Hand Inverted Chop to Left hand</t>
  </si>
  <si>
    <t>Left Hand Up cover; Right Hand to Hip</t>
  </si>
  <si>
    <t>Left Hand Up Cover; Right hand to Hip</t>
  </si>
  <si>
    <t>Turn Left to Front Stance; Left Hand becomes Target</t>
  </si>
  <si>
    <t>Ki Cho Hyung 1</t>
  </si>
  <si>
    <t>Ki Cho Hyung 2</t>
  </si>
  <si>
    <t>Ki Cho Hyung 3</t>
  </si>
  <si>
    <t>Hand on Hips; Front Kick; Step Forward to Front Kick</t>
  </si>
  <si>
    <t>Left Hand Chop Down-Right  Hand on Hip (Palm Up)</t>
  </si>
  <si>
    <t>Grab Wrist, Shift to Left Fighting Stance; Elbow to rear</t>
  </si>
  <si>
    <t>Return to Cover; Finish in Left Fighting Stance</t>
  </si>
  <si>
    <t>Trained</t>
  </si>
  <si>
    <t>Proficient</t>
  </si>
  <si>
    <t>In Progress</t>
  </si>
  <si>
    <t>Bohng Dol-liki (Staff Spinning)</t>
  </si>
  <si>
    <t>Joong Bong Il Hyung</t>
  </si>
  <si>
    <t>Thumb Up: Rotate up and out.</t>
  </si>
  <si>
    <t>Thumb Left; Rotate Left Horizontally and out</t>
  </si>
  <si>
    <t>Thumb Down; Rotate forward, down, and out</t>
  </si>
  <si>
    <t>Thumb Right, Palm Up Shoot Out 45 degree</t>
  </si>
  <si>
    <t>Notes: Always Attack Opponents Thumb; Fingers Open WIDE</t>
  </si>
  <si>
    <t>Notes: Point Fingers Where You Want Opponent to Go.</t>
  </si>
  <si>
    <t>Skip; Left Grabs Right; Step through and rotate CCW; Arm Bar/Pressure Point, Kick to knee</t>
  </si>
  <si>
    <t>Skip; Two hands Grab Right; Step through; Rotate CCW; Kneel/Throw</t>
  </si>
  <si>
    <t>Start Date</t>
  </si>
  <si>
    <t>Promotion Date</t>
  </si>
  <si>
    <t>Target Rank</t>
  </si>
  <si>
    <t xml:space="preserve">Skip; Two Hands Grab Right; PP/WL; Pivot CCW; Kneel; </t>
  </si>
  <si>
    <t>1 Black Stripe</t>
  </si>
  <si>
    <t>Test Date</t>
  </si>
  <si>
    <t>Student Name</t>
  </si>
  <si>
    <t>Date Joined</t>
  </si>
  <si>
    <t>Tuition Program</t>
  </si>
  <si>
    <t>John Barkle</t>
  </si>
  <si>
    <t>Current Rank</t>
  </si>
  <si>
    <t>White Belt</t>
  </si>
  <si>
    <t>Period</t>
  </si>
  <si>
    <t>4 Black Stripes</t>
  </si>
  <si>
    <t>3 Black Stripes</t>
  </si>
  <si>
    <t>2 Black Stripes</t>
  </si>
  <si>
    <t>5 Black Stripes</t>
  </si>
  <si>
    <t>6 Black Stripes</t>
  </si>
  <si>
    <t>Interval</t>
  </si>
  <si>
    <t>Todays Date</t>
  </si>
  <si>
    <t>Promtion Date</t>
  </si>
  <si>
    <t>Student ID</t>
  </si>
  <si>
    <t>Date of Last Promotion</t>
  </si>
  <si>
    <t>Jyokyo Nim 1st dahn</t>
  </si>
  <si>
    <t>Huin ddi</t>
  </si>
  <si>
    <t>Norang ddi</t>
  </si>
  <si>
    <t>Cheong ddi</t>
  </si>
  <si>
    <t>Hong ddi</t>
  </si>
  <si>
    <t>Ja ddi</t>
  </si>
  <si>
    <t>Dahnbo Nim</t>
  </si>
  <si>
    <t>Belt</t>
  </si>
  <si>
    <t>Yellow Belt Requirments</t>
  </si>
  <si>
    <t>Yellow Stripe Requirments</t>
  </si>
  <si>
    <t>Blue Stripe Requirments</t>
  </si>
  <si>
    <t>Blue Belt Requirments</t>
  </si>
  <si>
    <t>Red Belt Requirements</t>
  </si>
  <si>
    <t>Red Stripe Requirements</t>
  </si>
  <si>
    <t>Brown Stripe Requirements</t>
  </si>
  <si>
    <t>Brown Belt Requirements</t>
  </si>
  <si>
    <t>2 Black Stripes Requirements</t>
  </si>
  <si>
    <t>1 Black Stripe Requirements</t>
  </si>
  <si>
    <t>3 Black Stripes Requirements</t>
  </si>
  <si>
    <t>Dahn Do Mahk Ki</t>
  </si>
  <si>
    <t>Ssahng Soo</t>
  </si>
  <si>
    <t>Instruction Date</t>
  </si>
  <si>
    <t>Rotate Right</t>
  </si>
  <si>
    <t>Rotate Back/Right Side</t>
  </si>
  <si>
    <t>Rotate Back/Left Side</t>
  </si>
  <si>
    <t>Palm Flower</t>
  </si>
  <si>
    <t>9a/9b</t>
  </si>
  <si>
    <t>Cross Front Right Hand/Cross Front Left Hand</t>
  </si>
  <si>
    <t>10a/10b</t>
  </si>
  <si>
    <t>Behind Back to Right/Behind Back to Left</t>
  </si>
  <si>
    <t>Three Spins Right</t>
  </si>
  <si>
    <t>Bow</t>
  </si>
  <si>
    <t>Step Back</t>
  </si>
  <si>
    <t>Two Handed Crossover x3</t>
  </si>
  <si>
    <t>Step up; 1 handed Crossover x 3</t>
  </si>
  <si>
    <t>Step Back; Spin #5 x 3</t>
  </si>
  <si>
    <t>#14a Standing</t>
  </si>
  <si>
    <t xml:space="preserve"> 14a Kneeling</t>
  </si>
  <si>
    <t>Strike Right and back</t>
  </si>
  <si>
    <t>Inverted Horizontal strike</t>
  </si>
  <si>
    <t>Stand up to Palm Flower</t>
  </si>
  <si>
    <t>Horzontal Strike while sweeping back left</t>
  </si>
  <si>
    <t xml:space="preserve">Palm Flower </t>
  </si>
  <si>
    <t>Horizontal Strike left while Sweeping back left</t>
  </si>
  <si>
    <t>Right Foot Cross step in front/Strike Left stabb</t>
  </si>
  <si>
    <t>left foot cross step in front/downward strike</t>
  </si>
  <si>
    <t>sweep back left to Horse stance/ Spin 10A to Front stance</t>
  </si>
  <si>
    <t>Soft Roll to Kneeling Block/Invert Right Hand Grasp</t>
  </si>
  <si>
    <t>Stand and Horizontal overhead Block</t>
  </si>
  <si>
    <t>Sawwep back Left to Front stance/Staff Vertical</t>
  </si>
  <si>
    <t>#10a to Overhand Strike</t>
  </si>
  <si>
    <t>Step to Front stnace and stab</t>
  </si>
  <si>
    <t xml:space="preserve">Draw Back to one legged stance </t>
  </si>
  <si>
    <t>Step down to jump inside kick/Land Horse/Horizontal Strike</t>
  </si>
  <si>
    <t>Change Stance to front stnce/palmflower</t>
  </si>
  <si>
    <t>Stike Left and back</t>
  </si>
  <si>
    <t>#9a spin left x3</t>
  </si>
  <si>
    <t xml:space="preserve">Change to Long Front Stance; Cross Block; </t>
  </si>
  <si>
    <t>Dual Elbow Strike to rear (Khi Hap)</t>
  </si>
  <si>
    <t>Sweep Left Foot CW; pivot to face front; X cover</t>
  </si>
  <si>
    <t>Switch to Horse Stance; Right Hand on Hip; Left Hand Target</t>
  </si>
  <si>
    <t>Raise hands to Shoulders; Double Palm strike to sides</t>
  </si>
  <si>
    <t>Inside Kick to Right Foot up (Crane Stance; X cover)</t>
  </si>
  <si>
    <t>Jump to Horse Stance; Hands On Hips (Make two fists, Palms Up)</t>
  </si>
  <si>
    <t>Step Down Right to Horse Stance; High Low Cover;</t>
  </si>
  <si>
    <t>Kneel to Hajun Sudo between Knees; Up to (take a Knee); Knife Hand Cover</t>
  </si>
  <si>
    <t>Rise to Cover; Finish in Left Fighting Stance</t>
  </si>
  <si>
    <t>Skip Left; Back Hand top of wrist; RF Sweep Back CCW- LH Circle CW (wrist on shoulder); X Cover (above Elow); Kneel-Take straight down</t>
  </si>
  <si>
    <t>Step RF; RH-Y Grab Wrist; LH- Thumb down (inside Palm);LF-Sweep Back CCW; Wrist Lock Take Down; Kneel (Break Wrist)</t>
  </si>
  <si>
    <t>SkipLeft; RH PP Grab Wrist; RF-Step Through;  RF-Sweep Calf-LH Sudo Shoulder; Take down to Rear; Kneel on Chest (back fist)</t>
  </si>
  <si>
    <t>Step Right Foot; Yuk Sudo to Wrist; Circle CW under arm; Grab Wrist; Step through with Left; Arm Bar (above Elbow) straight to ground; Kneel on Arm; (Back fist)</t>
  </si>
  <si>
    <t>Step RF; RH-Sudo Right Temple; LH-Palm Up to Chin; Twist Neck; Kneel Throw</t>
  </si>
  <si>
    <t>Step RF; RH Sudo toLeft Temple; LH-PP under Chin; LF-Sweep CCW; Kneel twist Neck take down</t>
  </si>
  <si>
    <t>Step RF; LH-Hug Lower Back; RH-PP to Adams Apple: Push Away</t>
  </si>
  <si>
    <t>Skip LF Behind; Kneel; LH Grabs Wrist; Knee to Knee-RH- Palm Strike Chest</t>
  </si>
  <si>
    <t>Step RF;RH Grabs L-Wrist (LOW); LF-Step in Front Through; LH around back to Neck (HIGH); Hip throw; Kneel on Chest; (Straight Punch)</t>
  </si>
  <si>
    <t>Step RF;LH around Back at waist (Low);RH-Grabs back of neck (High); Hip Throw; Kneel on Chest; (Back Fist)</t>
  </si>
  <si>
    <t xml:space="preserve">Rigtht Hand to Hip-LH Target; </t>
  </si>
  <si>
    <t>Ki Cho Hyung 4-6</t>
  </si>
  <si>
    <t>Ki Cho Hyung 4</t>
  </si>
  <si>
    <t>Inside Kick; Step Down to Face Left Horse Stance</t>
  </si>
  <si>
    <t>RH-Insie Clock; LH-Up Cover</t>
  </si>
  <si>
    <t>LF Sweeps Back CCW to Face Front Long Stance; Left hand Outside Block; RH-Front Punch</t>
  </si>
  <si>
    <t>RF-Step back; Hands to Genie Cover</t>
  </si>
  <si>
    <t>Rotate CW to Face Rear Long Stance; RH-Sudo</t>
  </si>
  <si>
    <t>LF- Steps Forward to Long Stance; Hands to genie Cover</t>
  </si>
  <si>
    <t>Rotate CW to Face Front Long Stance; Sudo</t>
  </si>
  <si>
    <t>RF-Steps back to Long Stance; High Low Cover; Hajun Sudo</t>
  </si>
  <si>
    <t>Ki Cho Hyung 5</t>
  </si>
  <si>
    <t>Hand on Hips; Front Kick; Step Forward to Front Kick; Land Long Stance</t>
  </si>
  <si>
    <t>RH-Elbow; Sudo;</t>
  </si>
  <si>
    <t>Step Backto RF Front Cat Stance; High Low Cover</t>
  </si>
  <si>
    <t>Step Forward to RF Back Dragon Stance; Hajun Back Fist</t>
  </si>
  <si>
    <t>LF-Step to Rear to Horse Stance; RH on Hip;LH target</t>
  </si>
  <si>
    <t>Inside Kick land Facing Left Horse Stance;</t>
  </si>
  <si>
    <t>RH- Inside Block; LH- Up Cover</t>
  </si>
  <si>
    <t>LF- Sweeps Back CCW to Rear Facing Long Stance; Front Punch</t>
  </si>
  <si>
    <t>Genie Cover; Rotate CW to Face Front Long Stance- Sudo</t>
  </si>
  <si>
    <t>High Low Cover; RF-Steps Back to Long Stance-Hajun Sudo</t>
  </si>
  <si>
    <t>Ki Cho Hyung 6</t>
  </si>
  <si>
    <t>Inside Kick; Step Down to Face Left Horse Stance; LH high cover</t>
  </si>
  <si>
    <t>Rotate Counter CCW (high Knee) to Jump Inside Kick</t>
  </si>
  <si>
    <t>Land RF Long Stance; RH-Sudo</t>
  </si>
  <si>
    <t>Pivot Left to Rear Facing Guard</t>
  </si>
  <si>
    <t>Pivot Left to Front Facing Guard</t>
  </si>
  <si>
    <t>Finish in Left Guard Stance</t>
  </si>
  <si>
    <t>Start in Left Guard Stance</t>
  </si>
  <si>
    <t>Return to Cover; Finish in Left Guard Stance</t>
  </si>
  <si>
    <t>RH-Circle CCW to Open Fingers Thumb Up; LH PP to Grasp-Rotate Wrist CCW away to exspose Elbow; RH- Knife Hand above Elbow; Step Through and Push Pul Arm Lock; Take straight down to Front Fall</t>
  </si>
  <si>
    <t>Evaluation Date</t>
  </si>
  <si>
    <t>RF-Steps Out-RH And Y-Grab Wrist; LH PP Above Elbow; LFSteps Through Rotate CW; Arm Bar Take Down-Kneel; (Front Side fall)</t>
  </si>
  <si>
    <t>RF-Steps Out-RH Circle Grab Thumb Up-LH Grab Thumb Up; LF-Step Through-Rotate CW; Throw-Kneel; (Rolling-Break Fall); Kneel On Elbow; Spin Back Fist</t>
  </si>
  <si>
    <t>LF-Cross Step-RH-Rotate Palm Up-LH-Palm Up Wrist Grab; RH-Finger Break;RF-Step in Front-LH-Waist Grab; Hip Throw;(Rolling-Break Fall);Kneel on Chest;Spin back Fist</t>
  </si>
  <si>
    <t>RF-Step Behind;RH-Y Grab;LH-Grabs Shoulder;RH-Y Grab-Arm Throw; LF-Ankle Sweep;(Rolling-Break Fall);Kneel on Elbow-back Fist</t>
  </si>
  <si>
    <t>RH-Rotate CW Palm Up; LH-Counter Grab (Palm Down)-PP; Rotate Grip CW-Wrist Lock Take Down (Side fall); Kneel; Pin Arm (Back Fist)</t>
  </si>
  <si>
    <t>RF-Step Behind;RH-Y Grab-LH-Grabs around Waist-Hip Throw;(Side Fall);Hyper extend Elbow over Knee; Punch</t>
  </si>
  <si>
    <t>LF-Cross Step-RH-Rotate Palm Up-LH-Palm Up Wrist Grab; RH-Finger Break;RF-Step in Front-LH/RH-Wrist Grab; Break elbow on Shoulder; Shoulder Throw;(Rolling-Break Fall); Palm Strike</t>
  </si>
  <si>
    <t>LF-Cross Step-RH-Rotate Palm Up-LH-Palm Up Wrist Grab; RH-Finger Break; RH Cover Face;Rotate CCW; Wrist Lock Take Down; Kneel;(Back Fall) Pin Elbow, Sudo Strike</t>
  </si>
  <si>
    <t>LF-Cross Step-RH-Rotate Palm Up-LH-Palm Up Wrist Grab; RH-Finger Break; RF-Behind; RH-Elbow Solar Plexus;Cross over Arm Bar;RF-Knee take down;(Back Side Fall);Back Fist</t>
  </si>
  <si>
    <t>RH Circle CCW-Y Grab;LH Hand Grab-Wrist lock,RF-Step In;Point Fingers to Chest; Bend Elow; Rotate Fingers CCW to Floor</t>
  </si>
  <si>
    <t>Change to Long Stance; Right Knee up to Cranbe Stance; Cross Block Below Eyes</t>
  </si>
  <si>
    <t>Jump to Horse Stnace; Dual Sudo to Sides (head Level)</t>
  </si>
  <si>
    <t>RF-Step back to Long Stance; Hands to Right Hip; Double Palm Strike</t>
  </si>
  <si>
    <t>Right Knee Up to Crane Stance; High-Low Middle Block</t>
  </si>
  <si>
    <t>Right Knee Up to Crane Stance; Inverted Punch (LH at the Elbow)</t>
  </si>
  <si>
    <t>Step Down to Horse Stance; Right Elbow Strike; Right Sudo</t>
  </si>
  <si>
    <t>Right Knee Up to Crane Stance; High Low Cover; Hajun Sudo</t>
  </si>
  <si>
    <t>RF-Step Left Fighting Stance</t>
  </si>
  <si>
    <t>Chagne to Long Stance; Hands on Hips; Front Kick</t>
  </si>
  <si>
    <t>Step Down to Long Stance;RH_Inside Block;LH-Up Cover;RH-Punch</t>
  </si>
  <si>
    <t>LF-Step to Long stance-Inverted Punch-LH-Covers under Elbow</t>
  </si>
  <si>
    <t>RF-Step to Long Stance-RH Elbow-Sudo-LH Covers under elbow</t>
  </si>
  <si>
    <t>LF-Steps to long Stance; High Low Cover;Kneel-Spinning back Fist</t>
  </si>
  <si>
    <t>Rise to Right Facing Horse stance; RH to Hip-LH Target</t>
  </si>
  <si>
    <t>Inside Kick; Step Down to Left Facing Horse Stance</t>
  </si>
  <si>
    <t>LF-Sweeps back; Rotate CCW to Long Stance;RH-Inside Block</t>
  </si>
  <si>
    <t>LH Up Cover; RH Punch</t>
  </si>
  <si>
    <t>Invert RH; Draw RF back to cat Stance; LH-Drwas up to Right Fist</t>
  </si>
  <si>
    <t>Both Hands Grab Shoulders; Pull In- RF- Front Kick</t>
  </si>
  <si>
    <t>Step Down to Long Stance; Cover Knee Left</t>
  </si>
  <si>
    <t>Draw RF back to Cat Stance; Cover Knee Right</t>
  </si>
  <si>
    <t>Rotate CCW to Dragon Stance; High Low Cover to Front</t>
  </si>
  <si>
    <t>X cover below eyes to Right; Rotate CW to Front Stance: Hammere Fist Right</t>
  </si>
  <si>
    <t>Double Palm Strike Left</t>
  </si>
  <si>
    <t>Opponet grabs</t>
  </si>
  <si>
    <t>Right Wrist</t>
  </si>
  <si>
    <t>Right Forearm</t>
  </si>
  <si>
    <t>Right Bicep</t>
  </si>
  <si>
    <t>Right Shoulder Low</t>
  </si>
  <si>
    <t>Right Shoulder High</t>
  </si>
  <si>
    <t>Behind Neck/Collar</t>
  </si>
  <si>
    <t>Both Lapels/Palm up</t>
  </si>
  <si>
    <t>Right Lapel Palm Up</t>
  </si>
  <si>
    <t>Center Chest/Palm In</t>
  </si>
  <si>
    <t>Belt Palm down</t>
  </si>
  <si>
    <t>Belt Palm Up</t>
  </si>
  <si>
    <t>LH-Grabs PP,Right Hand Escapes;LH-Rotate CCW (Exspose Elbow); Sudo straight Down on Elbow(Front Fall)</t>
  </si>
  <si>
    <t>Open Fingers; Rotate Over CCW (Trap Hand); Thumb Down; Elbow to Chest and Down (Front Fall)</t>
  </si>
  <si>
    <t>LH-Traps hand;RH-Pins Hand(Fingers UP/Open);Rotate Torso CCW/Down 45 degrees;Kneel (Front Fall)</t>
  </si>
  <si>
    <t>1/2 Punch; LH Grabs PP;Escape Right;LH-Rotate CCW (Exspose Elbow); Sudo straight Down on Elbow(Front Fall)</t>
  </si>
  <si>
    <t>RH Grabs PP(Trap Cloth)-LH Grabs Hand, Left Foot Steps Through; Rotate Hands CW and Down 45 Degrees (Back Side Fall)</t>
  </si>
  <si>
    <t>RH Grabs PP(Trap Cloth)-LH Grabs Hand, RF-Steps back; Rotate Hands CW and Down 45 Degrees (Back Side Fall)</t>
  </si>
  <si>
    <t>LH-Grabs Thumb down (Trap Cloth);Rotate CCW-RH Grabs Wrist (Point Finger); Rotate Finger in and down</t>
  </si>
  <si>
    <t>Lock</t>
  </si>
  <si>
    <t>I-Lock</t>
  </si>
  <si>
    <t>Baseball Bat</t>
  </si>
  <si>
    <t>Arm Bar</t>
  </si>
  <si>
    <t>Hip Throw</t>
  </si>
  <si>
    <t>Step Behind</t>
  </si>
  <si>
    <t>Arm Throw</t>
  </si>
  <si>
    <t>Front Sweep</t>
  </si>
  <si>
    <t>Elbow Drop</t>
  </si>
  <si>
    <t>ChestKnee</t>
  </si>
  <si>
    <t>Indian Burn</t>
  </si>
  <si>
    <t>Fingers</t>
  </si>
  <si>
    <t>Elbow Chop</t>
  </si>
  <si>
    <t>Chest Pin</t>
  </si>
  <si>
    <t>Elbow Trap</t>
  </si>
  <si>
    <t>Wrist Trap</t>
  </si>
  <si>
    <t>Forearm Chop</t>
  </si>
  <si>
    <t>Bicep Trap</t>
  </si>
  <si>
    <t>Neck Trap</t>
  </si>
  <si>
    <t>Lapel Lock</t>
  </si>
  <si>
    <t>Over-Belt Burn</t>
  </si>
  <si>
    <t>Lapel Burn</t>
  </si>
  <si>
    <t>Over-Belt Chop</t>
  </si>
  <si>
    <t>Choon BooTakedown</t>
  </si>
  <si>
    <t>Yuhl-Gyuhl Takedown</t>
  </si>
  <si>
    <t>Backstreet</t>
  </si>
  <si>
    <t>Hyperfoot</t>
  </si>
  <si>
    <t>Indian Burm</t>
  </si>
  <si>
    <t>Yuhl Gyuhl</t>
  </si>
  <si>
    <t>Soo Sahm</t>
  </si>
  <si>
    <t>Chuhn Boo</t>
  </si>
  <si>
    <t>Geuk Chuhn</t>
  </si>
  <si>
    <t>Hohn Soo</t>
  </si>
  <si>
    <t>Gaek Joo In</t>
  </si>
  <si>
    <t>Hahn Soo</t>
  </si>
  <si>
    <t>Dae Po</t>
  </si>
  <si>
    <t>UmKyo</t>
  </si>
  <si>
    <t>Goo Mi</t>
  </si>
  <si>
    <t>Yuhm Chuhn</t>
  </si>
  <si>
    <t>Jahng Moon</t>
  </si>
  <si>
    <t>Ah Moon</t>
  </si>
  <si>
    <t>Shin Juhng</t>
  </si>
  <si>
    <t>Yoo Geun</t>
  </si>
  <si>
    <t>Sam Um Kyo</t>
  </si>
  <si>
    <t>Dohk Bi</t>
  </si>
  <si>
    <t>Wee Joong</t>
  </si>
  <si>
    <t>Hyul Hae</t>
  </si>
  <si>
    <t>Ki Hae</t>
  </si>
  <si>
    <t>You Geun</t>
  </si>
  <si>
    <t>Gaek Joo</t>
  </si>
  <si>
    <t>Dae Choo</t>
  </si>
  <si>
    <t>Yahng Neung Chung</t>
  </si>
  <si>
    <t>Throw Right</t>
  </si>
  <si>
    <t>Throw Left</t>
  </si>
  <si>
    <t>Elbow Throw</t>
  </si>
  <si>
    <t>Cross Block Up</t>
  </si>
  <si>
    <t>Cross Block down</t>
  </si>
  <si>
    <t>Circle Block Chop</t>
  </si>
  <si>
    <t>Cover down Left</t>
  </si>
  <si>
    <t>Knife Attack</t>
  </si>
  <si>
    <t>Temple Thro</t>
  </si>
  <si>
    <t>Chin Throw</t>
  </si>
  <si>
    <t xml:space="preserve">Throat </t>
  </si>
  <si>
    <t xml:space="preserve">Kneel </t>
  </si>
  <si>
    <t>Hook Knee</t>
  </si>
  <si>
    <t>Low High</t>
  </si>
  <si>
    <t>High Low</t>
  </si>
  <si>
    <t>Spock Shock</t>
  </si>
  <si>
    <t>Hand Shake-Elbow Drop</t>
  </si>
  <si>
    <t>Left Over</t>
  </si>
  <si>
    <t>Sudo-Elbow Chop</t>
  </si>
  <si>
    <t>Shoulder Break</t>
  </si>
  <si>
    <t>Y Grab up</t>
  </si>
  <si>
    <t>UP</t>
  </si>
  <si>
    <t>Left</t>
  </si>
  <si>
    <t>Down</t>
  </si>
  <si>
    <t>Out</t>
  </si>
  <si>
    <t>Circle</t>
  </si>
  <si>
    <t>Rotate Clockwise, Knife Edge Left</t>
  </si>
  <si>
    <t>Etiquette</t>
  </si>
  <si>
    <t>Bowing</t>
  </si>
  <si>
    <t>Stances (Jah Se)</t>
  </si>
  <si>
    <t>Attention</t>
  </si>
  <si>
    <t>Kong Kyuk Jah Se</t>
  </si>
  <si>
    <t>Cha Ryuht</t>
  </si>
  <si>
    <t>Left Fighting Stance</t>
  </si>
  <si>
    <t>Bahng Uh Jah Se</t>
  </si>
  <si>
    <t>Right Fighting Stance</t>
  </si>
  <si>
    <t>Ki Mah Jah Se</t>
  </si>
  <si>
    <t>Horse Stance</t>
  </si>
  <si>
    <t>Juhn Guhl Jah se</t>
  </si>
  <si>
    <t>Front Stance</t>
  </si>
  <si>
    <t>Uniforms</t>
  </si>
  <si>
    <t>Notes</t>
  </si>
  <si>
    <t>Theory</t>
  </si>
  <si>
    <t>Sah Doh Mu Sool</t>
  </si>
  <si>
    <t>Bool Kyo MU Sool</t>
  </si>
  <si>
    <t>Buddhist Temple</t>
  </si>
  <si>
    <t>Koong Joong Mu Sool</t>
  </si>
  <si>
    <t>Korean Royal Palace</t>
  </si>
  <si>
    <t>Hwarang Do Sesok O-Gye</t>
  </si>
  <si>
    <t>Code Of Ethics</t>
  </si>
  <si>
    <t>Moral Character</t>
  </si>
  <si>
    <t>Do Jahng Etiquette</t>
  </si>
  <si>
    <t>1-Forward/Back Stretch</t>
  </si>
  <si>
    <t>2-Look Up/Down</t>
  </si>
  <si>
    <t>3-Look Side/Side</t>
  </si>
  <si>
    <t>4-Rotate Head</t>
  </si>
  <si>
    <t>5-Rotate Arms</t>
  </si>
  <si>
    <t>6-Rotate Hips</t>
  </si>
  <si>
    <t>7-Knee Bends</t>
  </si>
  <si>
    <t>8-Rotate Knees</t>
  </si>
  <si>
    <t>9-Stretch Over knees</t>
  </si>
  <si>
    <t>10-Long Stretch</t>
  </si>
  <si>
    <t>11-Grab Toes</t>
  </si>
  <si>
    <t>14-Bent Leg Stretch</t>
  </si>
  <si>
    <t>15-Bent Leg Long Stretch</t>
  </si>
  <si>
    <t>12-Ankle Circles</t>
  </si>
  <si>
    <t>16-Straddle Stretch</t>
  </si>
  <si>
    <t>17-Rowing Motion</t>
  </si>
  <si>
    <t>18-Forward Straddle Stretch</t>
  </si>
  <si>
    <t>19-Butterfly Bounce</t>
  </si>
  <si>
    <t>20-Butterfly Knees</t>
  </si>
  <si>
    <t>21-Finger Stretch</t>
  </si>
  <si>
    <t>22-Wrist Twist</t>
  </si>
  <si>
    <t>23-Roll Back</t>
  </si>
  <si>
    <t>24-Shoulder Stand</t>
  </si>
  <si>
    <t>25-Bicycle Kick</t>
  </si>
  <si>
    <t>26-Back Arch</t>
  </si>
  <si>
    <t>27-Hip Raise</t>
  </si>
  <si>
    <t>28-Hip Raise with Support</t>
  </si>
  <si>
    <t>29-Full Bridge</t>
  </si>
  <si>
    <t>30-Raise Head/Shoulders</t>
  </si>
  <si>
    <t>31-Raise Leg/Feet</t>
  </si>
  <si>
    <t>32-Raise head and Feet</t>
  </si>
  <si>
    <t>33-Grab Ankles</t>
  </si>
  <si>
    <t>34-Back Stretch</t>
  </si>
  <si>
    <t>Basic Techniques</t>
  </si>
  <si>
    <t>Forms</t>
  </si>
  <si>
    <t>Soo Ki</t>
  </si>
  <si>
    <t>Straight Punch</t>
  </si>
  <si>
    <t>Palm Strike</t>
  </si>
  <si>
    <t>Vertical Spear Hand Strike</t>
  </si>
  <si>
    <t>Ridge Hand Strike</t>
  </si>
  <si>
    <t>Circle Knife Hand</t>
  </si>
  <si>
    <t>Elbow Strike</t>
  </si>
  <si>
    <t>V-Double Palm Strike</t>
  </si>
  <si>
    <t>Tiger's Mouth</t>
  </si>
  <si>
    <t>Tiger's Claw</t>
  </si>
  <si>
    <t>Little Finger hammer Fist</t>
  </si>
  <si>
    <t>One Finger Fist</t>
  </si>
  <si>
    <t>Knuckle Punch</t>
  </si>
  <si>
    <t>Thumb Strike</t>
  </si>
  <si>
    <t>One Finger Poke</t>
  </si>
  <si>
    <t>Two Finger Poke</t>
  </si>
  <si>
    <t>Five Finger Strike</t>
  </si>
  <si>
    <t>One two Spin Chop</t>
  </si>
  <si>
    <t>Praying Mantis Block</t>
  </si>
  <si>
    <t>Cross Block (X-Cover)</t>
  </si>
  <si>
    <t>Four Winds Block</t>
  </si>
  <si>
    <t>Straight Leg Kick</t>
  </si>
  <si>
    <t>Front Kick</t>
  </si>
  <si>
    <t>Knee Kick</t>
  </si>
  <si>
    <t>Inside Kick</t>
  </si>
  <si>
    <t>Outside Kick</t>
  </si>
  <si>
    <t>Round Kick</t>
  </si>
  <si>
    <t>Side Kick</t>
  </si>
  <si>
    <t>Back Kick</t>
  </si>
  <si>
    <t>Hook Kick</t>
  </si>
  <si>
    <t>Axe Kick</t>
  </si>
  <si>
    <t>High Spin Kick</t>
  </si>
  <si>
    <t>Low Spin Kick</t>
  </si>
  <si>
    <t>Nak Bub</t>
  </si>
  <si>
    <t>Notes: Falling Principles</t>
  </si>
  <si>
    <t>Ahp Nak Bub</t>
  </si>
  <si>
    <t>Dee Nak Bub</t>
  </si>
  <si>
    <t>Ahp Yuhp Nak Bub</t>
  </si>
  <si>
    <t>Hweh Juhn Nak Bub</t>
  </si>
  <si>
    <t>Doo Sohn Poong Cha</t>
  </si>
  <si>
    <t>Hahn Sohn Poong Cha</t>
  </si>
  <si>
    <t>Pahl Kum Chi Poong Cha</t>
  </si>
  <si>
    <t>Goh Yahng Ee Nak Bub</t>
  </si>
  <si>
    <t>Cat Roll</t>
  </si>
  <si>
    <t>Cart Wheel</t>
  </si>
  <si>
    <t>Johk Sool</t>
  </si>
  <si>
    <t>Yuhp Nak Bub</t>
  </si>
  <si>
    <t>Elbow Cart-wheel</t>
  </si>
  <si>
    <t>Gon Joong Poong Cha</t>
  </si>
  <si>
    <t>Aerial (No Hand)</t>
  </si>
  <si>
    <t>Doo Sohn Aho Poong Cha</t>
  </si>
  <si>
    <t>Hand Spring</t>
  </si>
  <si>
    <t>Gong Joong Hweh Juhn Nak Bub</t>
  </si>
  <si>
    <t>High Roll Fall</t>
  </si>
  <si>
    <t>Front Fall</t>
  </si>
  <si>
    <t>Back Fall</t>
  </si>
  <si>
    <t>Side Fall</t>
  </si>
  <si>
    <t>Front Side Fall</t>
  </si>
  <si>
    <t>Rolling Fall</t>
  </si>
  <si>
    <t>One Hand Cart-wheel</t>
  </si>
  <si>
    <t>Gong Joong Dee Nak Bub</t>
  </si>
  <si>
    <t>High Back Fall</t>
  </si>
  <si>
    <t>High Front Fall</t>
  </si>
  <si>
    <t>Gong Joong Ahp Nak Bub</t>
  </si>
  <si>
    <t>Ahp Gong Joong Hweh Juhn Nak Bub</t>
  </si>
  <si>
    <t>Front Flip</t>
  </si>
  <si>
    <t>Dee Gong Joong Hweh Juhn Nak Bub</t>
  </si>
  <si>
    <t>Back  Flip</t>
  </si>
  <si>
    <t>Notes: Wrist Escapes; Always Attack Opponents Thumb; Fingers Open WIDE</t>
  </si>
  <si>
    <t>Notes: Elementary Level Form</t>
  </si>
  <si>
    <t>Notes: Fundamental Wrist Techniques</t>
  </si>
  <si>
    <t>Notes: Customs and Courtesies Displayed By Students of Kuk Sool Won in and out of the Do Jahng</t>
  </si>
  <si>
    <t>Notes: Basic Stances used in Forms and During Techniques; During Practice Stances should be as low as possible</t>
  </si>
  <si>
    <t>Notes: Hand Techniques; Basic attacks of the weaponless hand</t>
  </si>
  <si>
    <t>Notes: Foot Techniques; Basic attacks using the feet</t>
  </si>
  <si>
    <t xml:space="preserve">Notes: Fundamental Techniques; Basic Attacks, Joint locks and Throws which form the foundation of all higher techniques; </t>
  </si>
  <si>
    <t>Ki Cho Hyung ( Fundamental Form) 1-3</t>
  </si>
  <si>
    <t>Nickname</t>
  </si>
  <si>
    <t>13-Knee Extensions</t>
  </si>
  <si>
    <t>Step; Two Hand; step through; Rotate Throw</t>
  </si>
  <si>
    <t>Step; Right Grabs Right; Step Through; Rotate CW; Left Grabs Elbow/Fold Arm; Kneel</t>
  </si>
  <si>
    <t>Turn Left to Horse stance; Left hand to Hip; Right Cross Block</t>
  </si>
  <si>
    <t>Inside Kick; Land in Horse Stance facing Left; Both Hands on Hips</t>
  </si>
  <si>
    <t>Low Side Kick; Step Down; Pivot to Rear Long Stance; X Cover below the eyes</t>
  </si>
  <si>
    <t>Dual Sudo to Front Sides (Khi Hap)</t>
  </si>
  <si>
    <t>High Low Block; Right foot up (Crane Stance); Hajun Sudo</t>
  </si>
  <si>
    <t>Yellow Stripe Requirements</t>
  </si>
  <si>
    <t xml:space="preserve">Customs/Courtesies when entering Leaving the School/Mats, Addressing others, Focus, </t>
  </si>
  <si>
    <t>Notes: "Winging out" Technique to focus and direct the flow of Energy (Ki) through the body</t>
  </si>
  <si>
    <t>Kuk Sool Won Creed</t>
  </si>
  <si>
    <t>Student Oath</t>
  </si>
  <si>
    <t>Directions, Relationships, and Movements</t>
  </si>
  <si>
    <t>Addressing Others</t>
  </si>
  <si>
    <t>In Korean</t>
  </si>
  <si>
    <t>Notes: History, Language,Principles, and Ideology on which all Kuk Sool Won is Founded</t>
  </si>
  <si>
    <t>Counting</t>
  </si>
  <si>
    <t>Promotions: Belts/Stripes</t>
  </si>
  <si>
    <t>Names and Titles</t>
  </si>
  <si>
    <t>Commands and Terminology</t>
  </si>
  <si>
    <t>Parts of the Body</t>
  </si>
  <si>
    <t>Handling Weapons</t>
  </si>
  <si>
    <t>What is Ki</t>
  </si>
  <si>
    <t>Modern History of Kuk Sool Won</t>
  </si>
  <si>
    <t>Notes Starting Position Opponent grabs Right Hand at the Wrist.</t>
  </si>
  <si>
    <t>Language</t>
  </si>
  <si>
    <t>Technical</t>
  </si>
  <si>
    <t>Foundation</t>
  </si>
  <si>
    <t>Five Principles of a Warrior</t>
  </si>
  <si>
    <t>Proper way to wear the uniform</t>
  </si>
  <si>
    <t>Counting in Korean</t>
  </si>
  <si>
    <t>Blocking</t>
  </si>
  <si>
    <t>Teaching Others</t>
  </si>
  <si>
    <t>Stances</t>
  </si>
  <si>
    <t>Kicking</t>
  </si>
  <si>
    <t>Punching</t>
  </si>
  <si>
    <t>Locating the Target</t>
  </si>
  <si>
    <t>History of Kuk Sool Weapons</t>
  </si>
  <si>
    <t>Breathing</t>
  </si>
  <si>
    <t>Basic Pressure Points</t>
  </si>
  <si>
    <t>Notes: Breathing Excercises</t>
  </si>
  <si>
    <t>Types of Bows and occasions involving bowing</t>
  </si>
  <si>
    <t>You-Won-Hwa</t>
  </si>
  <si>
    <t>Names of Hand Attacks</t>
  </si>
  <si>
    <t>Names of Foots Attacks</t>
  </si>
  <si>
    <t>Inverted Stomp Kick</t>
  </si>
  <si>
    <t>Jump Side Kick</t>
  </si>
  <si>
    <t>Jump Front Kick</t>
  </si>
  <si>
    <t>Parallel-Double Palm Strike</t>
  </si>
  <si>
    <t>One Two Punch</t>
  </si>
  <si>
    <t>Jump Round Kick</t>
  </si>
  <si>
    <t>Jump Inside kick</t>
  </si>
  <si>
    <t>Jump Spin Side Kick</t>
  </si>
  <si>
    <t>Jump Spin Kick</t>
  </si>
  <si>
    <t>R-Jump Round Kick</t>
  </si>
  <si>
    <t>Inverted Round Kick</t>
  </si>
  <si>
    <t>Inverted Side kick</t>
  </si>
  <si>
    <t>Spinning Back Fist</t>
  </si>
  <si>
    <t>Inside Block</t>
  </si>
  <si>
    <t>Double Knife Chop</t>
  </si>
  <si>
    <t>Spear Hand Chop</t>
  </si>
  <si>
    <t>Up Cover</t>
  </si>
  <si>
    <t>Horizontal Knife Strike</t>
  </si>
  <si>
    <t>High Low Cover</t>
  </si>
  <si>
    <t>Double Outside Knife Strike</t>
  </si>
  <si>
    <t>Double High Knife Block</t>
  </si>
  <si>
    <t>Double Low Knife Block</t>
  </si>
  <si>
    <t>Double Palm Strike</t>
  </si>
  <si>
    <t>Inverted Spear Strike</t>
  </si>
  <si>
    <t>Double Front Block</t>
  </si>
  <si>
    <t>Two Handed Knee Cover</t>
  </si>
  <si>
    <t>Inverted Knife Hand</t>
  </si>
  <si>
    <t>Double Hammer fist</t>
  </si>
  <si>
    <t>Side High Low Cover</t>
  </si>
  <si>
    <t>Triple Punch</t>
  </si>
  <si>
    <t>Notes: Breating Excercises</t>
  </si>
  <si>
    <t>High Low Middle Block</t>
  </si>
  <si>
    <t>Neck Pinch</t>
  </si>
  <si>
    <t>Notes: Basic Stances</t>
  </si>
  <si>
    <t>Dragon Stance</t>
  </si>
  <si>
    <t>Cat Stance</t>
  </si>
  <si>
    <t>Crane  Stance</t>
  </si>
  <si>
    <t>Circle Back Fist</t>
  </si>
  <si>
    <t>Jump Inside Kick</t>
  </si>
  <si>
    <t>Dahn Juhn Ki</t>
  </si>
  <si>
    <t>Dahn Juhn Ki Bub</t>
  </si>
  <si>
    <t>Sparring</t>
  </si>
  <si>
    <t>Spinnig 1</t>
  </si>
  <si>
    <t>Spinnig 2</t>
  </si>
  <si>
    <t>Notes: Jionted Short Staff Spinning</t>
  </si>
  <si>
    <t>Striking 1</t>
  </si>
  <si>
    <t>Spinnig 3</t>
  </si>
  <si>
    <t>Spinnig 4</t>
  </si>
  <si>
    <t>Spinnig 6</t>
  </si>
  <si>
    <t>Spinnig 5</t>
  </si>
  <si>
    <t>Striking 2</t>
  </si>
  <si>
    <t>Striking 3</t>
  </si>
  <si>
    <t>Striking 4</t>
  </si>
  <si>
    <t>Bong Hyung</t>
  </si>
  <si>
    <t>Bong Do Liki</t>
  </si>
  <si>
    <t>Spinning 1</t>
  </si>
  <si>
    <t>Spinning 2</t>
  </si>
  <si>
    <t>Spinning 3</t>
  </si>
  <si>
    <t>Spinning 4</t>
  </si>
  <si>
    <t>Spinning 5</t>
  </si>
  <si>
    <t>11A/11B</t>
  </si>
  <si>
    <t>12A/12B</t>
  </si>
  <si>
    <t>13A/B</t>
  </si>
  <si>
    <t>14A/B</t>
  </si>
  <si>
    <t>15A/B</t>
  </si>
  <si>
    <t>Yahng Sahn Mok Soo</t>
  </si>
  <si>
    <t>Sword Cutting Techniques</t>
  </si>
  <si>
    <t>High Low Fist</t>
  </si>
  <si>
    <t xml:space="preserve">Notes: </t>
  </si>
  <si>
    <t>Notes: Weapons Introduction</t>
  </si>
  <si>
    <t>Notes: Staff Form</t>
  </si>
  <si>
    <t>Notes: Staff Spinning Techiques</t>
  </si>
  <si>
    <t>Family/Tribal</t>
  </si>
  <si>
    <t>Sohnh Ppae Ki 1-5 (Required)</t>
  </si>
  <si>
    <t>Ki Bohn Soo 1-5 (Required)</t>
  </si>
  <si>
    <t>Ki Cho Hyung 1 (Required)</t>
  </si>
  <si>
    <t>Ki Cho Hyung 2 (Required)</t>
  </si>
  <si>
    <t>Ki Cho Hyung 3 (Required)</t>
  </si>
  <si>
    <t>Ready to Test?</t>
  </si>
  <si>
    <t>Jah Se (Stances)</t>
  </si>
  <si>
    <t>Dahn Juhn Ki (Breating Excercises)</t>
  </si>
  <si>
    <t>Notes: Stretches designed to loosen and strengthen the body to withstand the rigors of training</t>
  </si>
  <si>
    <t>Mohm Puhl Ki (Body Conditioning)</t>
  </si>
  <si>
    <t>Ki Cho Jah Ki (Ki Exercise)</t>
  </si>
  <si>
    <t>Notes: Basic attacks of the weaponless hand</t>
  </si>
  <si>
    <t>Soo Ki (Hand Techniques)</t>
  </si>
  <si>
    <t>Notes: Basic attacks using the feet</t>
  </si>
  <si>
    <t>Johk Sool (Foot Techniques)</t>
  </si>
  <si>
    <t>Nak Bub (Falling Principles)</t>
  </si>
  <si>
    <t>Notes: Ways to move the boding to redirect kinetic energy during falling and acrobatics; protects the student from injury from falls</t>
  </si>
  <si>
    <t>Ki Bohn Soo (Fundamental Techniques)</t>
  </si>
  <si>
    <t>Ki Cho Hyung 4 (Fundamental Form)</t>
  </si>
  <si>
    <t>Ki Cho Hyung 5 (Fundamental Form)</t>
  </si>
  <si>
    <t>Ki Cho Hyung 6 (Fundamental Form)</t>
  </si>
  <si>
    <t>Ki Bohn Soo 1-15</t>
  </si>
  <si>
    <t>Ki Cho Hyung 1-6</t>
  </si>
  <si>
    <t>Sohn Mohk Soo 1-5</t>
  </si>
  <si>
    <t>Sohn Mohk Soo 11</t>
  </si>
  <si>
    <t>Cho Geup Hyung 1-24</t>
  </si>
  <si>
    <t>Cho Geup Hyung 1-13</t>
  </si>
  <si>
    <t>Eue Bohk Soo (Clothing Grab)</t>
  </si>
  <si>
    <t>Chul Bong</t>
  </si>
  <si>
    <t>Eue Bohk Soo 1-13</t>
  </si>
  <si>
    <t>Maek Chi Ki 1-15</t>
  </si>
  <si>
    <t>Maek Cha Ki 1-15</t>
  </si>
  <si>
    <t>N/A</t>
  </si>
  <si>
    <t>7 Black Stripes</t>
  </si>
  <si>
    <t>8 Black Stripes</t>
  </si>
  <si>
    <t>Overhead Strike Left/Overhead Strike Right</t>
  </si>
  <si>
    <t>Behind Neck Spin Right/Behind Neck Spin Left</t>
  </si>
  <si>
    <t>Yellow Stripe Belt</t>
  </si>
  <si>
    <t>Blue Stripe Belt</t>
  </si>
  <si>
    <t>4 Black Stripes Requirement</t>
  </si>
  <si>
    <t>5 Black Stripes Requirements</t>
  </si>
  <si>
    <t>6 Black Stripes Requirements</t>
  </si>
  <si>
    <t>7 Black Stripes Requiremnts</t>
  </si>
  <si>
    <t>Jyokyo Nim 1st Dahn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</si>
</sst>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;@"/>
    <numFmt numFmtId="166" formatCode="ddd\ d\-mmm\-yy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6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FF00"/>
      <name val="Arial"/>
      <family val="2"/>
    </font>
    <font>
      <b/>
      <sz val="16"/>
      <color theme="7" tint="-0.499984740745262"/>
      <name val="Arial"/>
      <family val="2"/>
    </font>
    <font>
      <sz val="16"/>
      <color theme="0"/>
      <name val="Arial"/>
      <family val="2"/>
    </font>
    <font>
      <sz val="16"/>
      <color rgb="FF0070C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sz val="16"/>
      <color theme="4"/>
      <name val="Arial"/>
      <family val="2"/>
    </font>
    <font>
      <sz val="11"/>
      <color theme="0"/>
      <name val="Arial"/>
      <family val="2"/>
    </font>
    <font>
      <sz val="16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11" borderId="0" applyNumberFormat="0" applyBorder="0" applyAlignment="0" applyProtection="0"/>
  </cellStyleXfs>
  <cellXfs count="308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1" fillId="4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0" fontId="7" fillId="8" borderId="1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7" fillId="8" borderId="1" xfId="0" applyFont="1" applyFill="1" applyBorder="1" applyAlignment="1">
      <alignment horizontal="left"/>
    </xf>
    <xf numFmtId="166" fontId="7" fillId="4" borderId="1" xfId="0" applyNumberFormat="1" applyFont="1" applyFill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6" fontId="7" fillId="4" borderId="0" xfId="0" applyNumberFormat="1" applyFont="1" applyFill="1" applyAlignment="1">
      <alignment horizontal="center"/>
    </xf>
    <xf numFmtId="0" fontId="7" fillId="4" borderId="0" xfId="0" applyFont="1" applyFill="1"/>
    <xf numFmtId="0" fontId="10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14" fillId="8" borderId="1" xfId="0" applyFont="1" applyFill="1" applyBorder="1"/>
    <xf numFmtId="0" fontId="15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0" fillId="0" borderId="1" xfId="0" applyFont="1" applyBorder="1"/>
    <xf numFmtId="0" fontId="10" fillId="9" borderId="1" xfId="0" applyFont="1" applyFill="1" applyBorder="1"/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14" fillId="7" borderId="1" xfId="0" applyFont="1" applyFill="1" applyBorder="1" applyAlignment="1">
      <alignment horizontal="center"/>
    </xf>
    <xf numFmtId="0" fontId="8" fillId="0" borderId="1" xfId="0" applyFont="1" applyBorder="1"/>
    <xf numFmtId="0" fontId="13" fillId="8" borderId="1" xfId="0" applyFont="1" applyFill="1" applyBorder="1"/>
    <xf numFmtId="0" fontId="0" fillId="0" borderId="0" xfId="0" applyAlignment="1">
      <alignment horizontal="left"/>
    </xf>
    <xf numFmtId="0" fontId="7" fillId="0" borderId="5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4" borderId="11" xfId="0" applyFont="1" applyFill="1" applyBorder="1"/>
    <xf numFmtId="0" fontId="7" fillId="0" borderId="2" xfId="0" applyFont="1" applyBorder="1" applyAlignment="1">
      <alignment horizontal="center"/>
    </xf>
    <xf numFmtId="165" fontId="7" fillId="4" borderId="0" xfId="0" applyNumberFormat="1" applyFont="1" applyFill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6" fontId="10" fillId="2" borderId="11" xfId="0" applyNumberFormat="1" applyFont="1" applyFill="1" applyBorder="1" applyAlignment="1">
      <alignment horizontal="center"/>
    </xf>
    <xf numFmtId="0" fontId="7" fillId="0" borderId="11" xfId="0" applyFont="1" applyBorder="1"/>
    <xf numFmtId="0" fontId="7" fillId="4" borderId="12" xfId="0" applyFont="1" applyFill="1" applyBorder="1"/>
    <xf numFmtId="0" fontId="7" fillId="4" borderId="12" xfId="0" applyFont="1" applyFill="1" applyBorder="1" applyAlignment="1">
      <alignment horizontal="center"/>
    </xf>
    <xf numFmtId="165" fontId="7" fillId="4" borderId="10" xfId="0" applyNumberFormat="1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166" fontId="7" fillId="4" borderId="10" xfId="0" applyNumberFormat="1" applyFont="1" applyFill="1" applyBorder="1" applyAlignment="1">
      <alignment horizontal="center"/>
    </xf>
    <xf numFmtId="0" fontId="7" fillId="4" borderId="8" xfId="0" applyFont="1" applyFill="1" applyBorder="1"/>
    <xf numFmtId="0" fontId="7" fillId="4" borderId="5" xfId="0" applyFont="1" applyFill="1" applyBorder="1"/>
    <xf numFmtId="0" fontId="7" fillId="4" borderId="9" xfId="0" applyFont="1" applyFill="1" applyBorder="1"/>
    <xf numFmtId="165" fontId="7" fillId="4" borderId="6" xfId="0" applyNumberFormat="1" applyFont="1" applyFill="1" applyBorder="1" applyAlignment="1">
      <alignment horizontal="center"/>
    </xf>
    <xf numFmtId="0" fontId="10" fillId="0" borderId="3" xfId="0" applyFont="1" applyBorder="1"/>
    <xf numFmtId="0" fontId="10" fillId="0" borderId="11" xfId="0" applyFont="1" applyBorder="1"/>
    <xf numFmtId="0" fontId="10" fillId="2" borderId="7" xfId="0" applyFont="1" applyFill="1" applyBorder="1" applyAlignment="1">
      <alignment horizontal="center"/>
    </xf>
    <xf numFmtId="165" fontId="7" fillId="4" borderId="11" xfId="0" applyNumberFormat="1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166" fontId="7" fillId="4" borderId="11" xfId="0" applyNumberFormat="1" applyFont="1" applyFill="1" applyBorder="1" applyAlignment="1">
      <alignment horizontal="center"/>
    </xf>
    <xf numFmtId="0" fontId="7" fillId="4" borderId="6" xfId="0" applyFont="1" applyFill="1" applyBorder="1"/>
    <xf numFmtId="0" fontId="10" fillId="4" borderId="10" xfId="0" applyFont="1" applyFill="1" applyBorder="1"/>
    <xf numFmtId="0" fontId="7" fillId="4" borderId="2" xfId="0" applyFont="1" applyFill="1" applyBorder="1" applyAlignment="1">
      <alignment horizontal="center"/>
    </xf>
    <xf numFmtId="0" fontId="10" fillId="4" borderId="4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66" fontId="10" fillId="4" borderId="0" xfId="0" applyNumberFormat="1" applyFont="1" applyFill="1"/>
    <xf numFmtId="0" fontId="10" fillId="4" borderId="12" xfId="0" applyFont="1" applyFill="1" applyBorder="1"/>
    <xf numFmtId="165" fontId="7" fillId="4" borderId="10" xfId="0" applyNumberFormat="1" applyFont="1" applyFill="1" applyBorder="1" applyAlignment="1">
      <alignment horizontal="left"/>
    </xf>
    <xf numFmtId="165" fontId="7" fillId="4" borderId="5" xfId="0" applyNumberFormat="1" applyFont="1" applyFill="1" applyBorder="1"/>
    <xf numFmtId="165" fontId="7" fillId="4" borderId="0" xfId="0" applyNumberFormat="1" applyFont="1" applyFill="1"/>
    <xf numFmtId="165" fontId="7" fillId="4" borderId="0" xfId="0" applyNumberFormat="1" applyFont="1" applyFill="1" applyAlignment="1">
      <alignment horizontal="left"/>
    </xf>
    <xf numFmtId="0" fontId="9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5" fillId="4" borderId="0" xfId="0" applyFont="1" applyFill="1" applyAlignment="1">
      <alignment horizontal="center"/>
    </xf>
    <xf numFmtId="0" fontId="14" fillId="4" borderId="0" xfId="0" applyFont="1" applyFill="1"/>
    <xf numFmtId="0" fontId="14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left"/>
    </xf>
    <xf numFmtId="0" fontId="14" fillId="4" borderId="0" xfId="0" applyFont="1" applyFill="1" applyAlignment="1">
      <alignment horizontal="left"/>
    </xf>
    <xf numFmtId="0" fontId="14" fillId="4" borderId="3" xfId="0" applyFont="1" applyFill="1" applyBorder="1" applyAlignment="1">
      <alignment horizontal="left"/>
    </xf>
    <xf numFmtId="0" fontId="15" fillId="4" borderId="3" xfId="0" applyFont="1" applyFill="1" applyBorder="1" applyAlignment="1">
      <alignment horizontal="center"/>
    </xf>
    <xf numFmtId="0" fontId="14" fillId="4" borderId="3" xfId="0" applyFont="1" applyFill="1" applyBorder="1"/>
    <xf numFmtId="0" fontId="15" fillId="4" borderId="1" xfId="0" applyFont="1" applyFill="1" applyBorder="1"/>
    <xf numFmtId="0" fontId="14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left" vertical="center"/>
    </xf>
    <xf numFmtId="0" fontId="15" fillId="4" borderId="0" xfId="0" applyFont="1" applyFill="1"/>
    <xf numFmtId="0" fontId="0" fillId="4" borderId="0" xfId="0" applyFill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vertical="center"/>
    </xf>
    <xf numFmtId="0" fontId="7" fillId="4" borderId="0" xfId="0" applyFont="1" applyFill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0" fillId="2" borderId="1" xfId="0" applyFont="1" applyFill="1" applyBorder="1" applyAlignment="1">
      <alignment vertical="center"/>
    </xf>
    <xf numFmtId="0" fontId="14" fillId="4" borderId="10" xfId="0" applyFont="1" applyFill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0" fillId="9" borderId="1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17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0" fillId="2" borderId="2" xfId="0" applyFont="1" applyFill="1" applyBorder="1"/>
    <xf numFmtId="0" fontId="0" fillId="4" borderId="1" xfId="0" applyFill="1" applyBorder="1"/>
    <xf numFmtId="0" fontId="14" fillId="4" borderId="5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8" fillId="5" borderId="2" xfId="0" applyFont="1" applyFill="1" applyBorder="1" applyAlignment="1">
      <alignment horizontal="center"/>
    </xf>
    <xf numFmtId="0" fontId="22" fillId="11" borderId="1" xfId="1" applyBorder="1"/>
    <xf numFmtId="0" fontId="7" fillId="0" borderId="0" xfId="0" applyFont="1" applyAlignment="1">
      <alignment vertical="center"/>
    </xf>
    <xf numFmtId="0" fontId="8" fillId="4" borderId="0" xfId="0" applyFont="1" applyFill="1"/>
    <xf numFmtId="0" fontId="8" fillId="4" borderId="0" xfId="0" applyFont="1" applyFill="1" applyAlignment="1">
      <alignment horizontal="left"/>
    </xf>
    <xf numFmtId="0" fontId="17" fillId="6" borderId="1" xfId="0" applyFont="1" applyFill="1" applyBorder="1"/>
    <xf numFmtId="0" fontId="10" fillId="2" borderId="1" xfId="0" applyFont="1" applyFill="1" applyBorder="1"/>
    <xf numFmtId="0" fontId="16" fillId="9" borderId="1" xfId="0" applyFont="1" applyFill="1" applyBorder="1"/>
    <xf numFmtId="0" fontId="16" fillId="4" borderId="1" xfId="0" applyFont="1" applyFill="1" applyBorder="1"/>
    <xf numFmtId="0" fontId="7" fillId="4" borderId="5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3" borderId="1" xfId="0" applyFont="1" applyFill="1" applyBorder="1"/>
    <xf numFmtId="0" fontId="19" fillId="3" borderId="1" xfId="0" applyFont="1" applyFill="1" applyBorder="1"/>
    <xf numFmtId="0" fontId="18" fillId="5" borderId="2" xfId="0" applyFont="1" applyFill="1" applyBorder="1"/>
    <xf numFmtId="0" fontId="22" fillId="11" borderId="1" xfId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6" borderId="1" xfId="0" applyFont="1" applyFill="1" applyBorder="1"/>
    <xf numFmtId="0" fontId="11" fillId="7" borderId="1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8" borderId="15" xfId="0" applyFont="1" applyFill="1" applyBorder="1" applyAlignment="1">
      <alignment horizontal="left"/>
    </xf>
    <xf numFmtId="166" fontId="7" fillId="0" borderId="15" xfId="0" applyNumberFormat="1" applyFont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left"/>
    </xf>
    <xf numFmtId="0" fontId="7" fillId="4" borderId="19" xfId="0" applyFont="1" applyFill="1" applyBorder="1" applyAlignment="1">
      <alignment horizontal="center"/>
    </xf>
    <xf numFmtId="0" fontId="7" fillId="4" borderId="18" xfId="0" applyFont="1" applyFill="1" applyBorder="1"/>
    <xf numFmtId="0" fontId="7" fillId="4" borderId="20" xfId="0" applyFont="1" applyFill="1" applyBorder="1"/>
    <xf numFmtId="0" fontId="14" fillId="7" borderId="20" xfId="0" applyFont="1" applyFill="1" applyBorder="1"/>
    <xf numFmtId="0" fontId="15" fillId="4" borderId="19" xfId="0" applyFont="1" applyFill="1" applyBorder="1" applyAlignment="1">
      <alignment horizontal="center"/>
    </xf>
    <xf numFmtId="0" fontId="10" fillId="9" borderId="18" xfId="0" applyFont="1" applyFill="1" applyBorder="1"/>
    <xf numFmtId="0" fontId="22" fillId="11" borderId="18" xfId="1" applyBorder="1"/>
    <xf numFmtId="0" fontId="10" fillId="2" borderId="21" xfId="0" applyFont="1" applyFill="1" applyBorder="1" applyAlignment="1">
      <alignment vertical="center"/>
    </xf>
    <xf numFmtId="0" fontId="10" fillId="4" borderId="21" xfId="0" applyFont="1" applyFill="1" applyBorder="1" applyAlignment="1">
      <alignment horizontal="left" vertical="center"/>
    </xf>
    <xf numFmtId="0" fontId="14" fillId="4" borderId="18" xfId="0" applyFont="1" applyFill="1" applyBorder="1" applyAlignment="1">
      <alignment horizontal="left"/>
    </xf>
    <xf numFmtId="0" fontId="15" fillId="4" borderId="21" xfId="0" applyFont="1" applyFill="1" applyBorder="1"/>
    <xf numFmtId="0" fontId="10" fillId="2" borderId="21" xfId="0" applyFont="1" applyFill="1" applyBorder="1" applyAlignment="1">
      <alignment horizontal="left" vertical="center"/>
    </xf>
    <xf numFmtId="0" fontId="22" fillId="11" borderId="18" xfId="1" applyBorder="1" applyAlignment="1">
      <alignment horizontal="center"/>
    </xf>
    <xf numFmtId="0" fontId="7" fillId="0" borderId="21" xfId="0" applyFont="1" applyBorder="1" applyAlignment="1">
      <alignment horizontal="left" vertical="center"/>
    </xf>
    <xf numFmtId="0" fontId="14" fillId="4" borderId="22" xfId="0" applyFont="1" applyFill="1" applyBorder="1" applyAlignment="1">
      <alignment horizontal="left"/>
    </xf>
    <xf numFmtId="0" fontId="15" fillId="4" borderId="19" xfId="0" applyFont="1" applyFill="1" applyBorder="1"/>
    <xf numFmtId="0" fontId="7" fillId="0" borderId="18" xfId="0" applyFont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0" xfId="0" applyFont="1" applyBorder="1"/>
    <xf numFmtId="0" fontId="7" fillId="0" borderId="18" xfId="0" applyFont="1" applyBorder="1"/>
    <xf numFmtId="0" fontId="7" fillId="0" borderId="24" xfId="0" applyFont="1" applyBorder="1" applyAlignment="1">
      <alignment horizontal="center"/>
    </xf>
    <xf numFmtId="166" fontId="7" fillId="0" borderId="25" xfId="0" applyNumberFormat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8" borderId="15" xfId="0" applyFont="1" applyFill="1" applyBorder="1" applyAlignment="1">
      <alignment horizontal="left"/>
    </xf>
    <xf numFmtId="166" fontId="1" fillId="0" borderId="15" xfId="0" applyNumberFormat="1" applyFont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left"/>
    </xf>
    <xf numFmtId="0" fontId="1" fillId="4" borderId="19" xfId="0" applyFont="1" applyFill="1" applyBorder="1" applyAlignment="1">
      <alignment horizontal="center"/>
    </xf>
    <xf numFmtId="0" fontId="3" fillId="4" borderId="18" xfId="0" applyFont="1" applyFill="1" applyBorder="1"/>
    <xf numFmtId="0" fontId="1" fillId="4" borderId="20" xfId="0" applyFont="1" applyFill="1" applyBorder="1"/>
    <xf numFmtId="0" fontId="1" fillId="4" borderId="0" xfId="0" applyFont="1" applyFill="1"/>
    <xf numFmtId="0" fontId="5" fillId="7" borderId="18" xfId="0" applyFont="1" applyFill="1" applyBorder="1" applyAlignment="1">
      <alignment horizontal="center"/>
    </xf>
    <xf numFmtId="0" fontId="4" fillId="4" borderId="20" xfId="0" applyFont="1" applyFill="1" applyBorder="1"/>
    <xf numFmtId="0" fontId="1" fillId="0" borderId="27" xfId="0" applyFont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7" fillId="4" borderId="21" xfId="0" applyFont="1" applyFill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4" xfId="0" applyFont="1" applyBorder="1" applyAlignment="1">
      <alignment horizontal="center"/>
    </xf>
    <xf numFmtId="165" fontId="1" fillId="0" borderId="25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6" fontId="1" fillId="0" borderId="25" xfId="0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15" fillId="4" borderId="0" xfId="0" applyFont="1" applyFill="1" applyAlignment="1">
      <alignment horizontal="left"/>
    </xf>
    <xf numFmtId="0" fontId="0" fillId="4" borderId="17" xfId="0" applyFill="1" applyBorder="1"/>
    <xf numFmtId="0" fontId="0" fillId="4" borderId="19" xfId="0" applyFill="1" applyBorder="1"/>
    <xf numFmtId="0" fontId="10" fillId="2" borderId="28" xfId="0" applyFont="1" applyFill="1" applyBorder="1" applyAlignment="1">
      <alignment vertical="center"/>
    </xf>
    <xf numFmtId="0" fontId="7" fillId="0" borderId="18" xfId="0" applyFont="1" applyBorder="1" applyAlignment="1">
      <alignment horizontal="left"/>
    </xf>
    <xf numFmtId="0" fontId="7" fillId="0" borderId="21" xfId="0" applyFont="1" applyBorder="1" applyAlignment="1">
      <alignment vertical="center"/>
    </xf>
    <xf numFmtId="0" fontId="0" fillId="0" borderId="19" xfId="0" applyBorder="1"/>
    <xf numFmtId="0" fontId="1" fillId="0" borderId="20" xfId="0" applyFont="1" applyBorder="1"/>
    <xf numFmtId="0" fontId="0" fillId="0" borderId="20" xfId="0" applyBorder="1"/>
    <xf numFmtId="0" fontId="14" fillId="7" borderId="20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0" fillId="9" borderId="29" xfId="0" applyFont="1" applyFill="1" applyBorder="1"/>
    <xf numFmtId="0" fontId="2" fillId="2" borderId="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left"/>
    </xf>
    <xf numFmtId="0" fontId="1" fillId="4" borderId="19" xfId="0" applyFont="1" applyFill="1" applyBorder="1" applyAlignment="1">
      <alignment horizontal="left"/>
    </xf>
    <xf numFmtId="0" fontId="0" fillId="0" borderId="19" xfId="0" applyBorder="1" applyAlignment="1">
      <alignment horizontal="left"/>
    </xf>
    <xf numFmtId="0" fontId="15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25" fillId="5" borderId="1" xfId="0" applyFont="1" applyFill="1" applyBorder="1"/>
    <xf numFmtId="0" fontId="10" fillId="2" borderId="2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6" fillId="4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20" fillId="10" borderId="13" xfId="0" applyFont="1" applyFill="1" applyBorder="1" applyAlignment="1">
      <alignment horizontal="center"/>
    </xf>
    <xf numFmtId="0" fontId="20" fillId="10" borderId="10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left"/>
    </xf>
    <xf numFmtId="0" fontId="14" fillId="4" borderId="4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10" fillId="10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0" borderId="4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10" fillId="10" borderId="13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8" xfId="0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10" fillId="10" borderId="22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</cellXfs>
  <cellStyles count="2">
    <cellStyle name="Neutral" xfId="1" builtinId="28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601980</xdr:colOff>
      <xdr:row>53</xdr:row>
      <xdr:rowOff>54610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1E5DC-F448-096F-4782-123899BCA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17180" cy="997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4A2E-3221-461C-BA89-410641491D0F}">
  <dimension ref="A1:E26"/>
  <sheetViews>
    <sheetView workbookViewId="0">
      <selection activeCell="A8" sqref="A8:E24"/>
    </sheetView>
  </sheetViews>
  <sheetFormatPr defaultColWidth="8.85546875" defaultRowHeight="15" x14ac:dyDescent="0.2"/>
  <cols>
    <col min="1" max="1" width="25.42578125" style="7" bestFit="1" customWidth="1"/>
    <col min="2" max="4" width="16.140625" style="8" customWidth="1"/>
    <col min="5" max="5" width="13.140625" style="7" bestFit="1" customWidth="1"/>
    <col min="6" max="16384" width="8.85546875" style="7"/>
  </cols>
  <sheetData>
    <row r="1" spans="1:5" ht="15.75" x14ac:dyDescent="0.25">
      <c r="A1" s="15" t="s">
        <v>74</v>
      </c>
      <c r="B1" s="12" t="s">
        <v>77</v>
      </c>
    </row>
    <row r="2" spans="1:5" ht="15.75" x14ac:dyDescent="0.25">
      <c r="A2" s="15" t="s">
        <v>75</v>
      </c>
      <c r="B2" s="13">
        <v>43757</v>
      </c>
      <c r="E2" s="8"/>
    </row>
    <row r="3" spans="1:5" ht="15.75" x14ac:dyDescent="0.25">
      <c r="A3" s="15" t="s">
        <v>89</v>
      </c>
      <c r="B3" s="13"/>
      <c r="E3" s="8"/>
    </row>
    <row r="4" spans="1:5" ht="15.75" x14ac:dyDescent="0.25">
      <c r="A4" s="15" t="s">
        <v>76</v>
      </c>
      <c r="B4" s="12"/>
      <c r="E4" s="8"/>
    </row>
    <row r="5" spans="1:5" ht="15.75" x14ac:dyDescent="0.25">
      <c r="A5" s="15" t="s">
        <v>78</v>
      </c>
      <c r="B5" s="11" t="s">
        <v>97</v>
      </c>
      <c r="C5" s="12" t="s">
        <v>82</v>
      </c>
    </row>
    <row r="6" spans="1:5" ht="15.75" x14ac:dyDescent="0.25">
      <c r="A6" s="15" t="s">
        <v>90</v>
      </c>
      <c r="B6" s="12"/>
      <c r="D6" s="7"/>
      <c r="E6" s="8"/>
    </row>
    <row r="25" spans="2:2" x14ac:dyDescent="0.2">
      <c r="B25" s="7"/>
    </row>
    <row r="26" spans="2:2" x14ac:dyDescent="0.2">
      <c r="B26" s="7"/>
    </row>
  </sheetData>
  <phoneticPr fontId="21" type="noConversion"/>
  <pageMargins left="0.7" right="0.7" top="0.75" bottom="0.75" header="0.3" footer="0.3"/>
  <pageSetup paperSize="0" orientation="portrait" horizontalDpi="0" verticalDpi="0" copies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76C192-E8FD-4E3B-8A07-4978C1E70854}">
          <x14:formula1>
            <xm:f>'Testing Chart'!$P$2:$P$18</xm:f>
          </x14:formula1>
          <xm:sqref>B6 C5</xm:sqref>
        </x14:dataValidation>
        <x14:dataValidation type="list" allowBlank="1" showInputMessage="1" showErrorMessage="1" xr:uid="{19C3CD56-B69A-4E3D-B725-3781B69FDFC7}">
          <x14:formula1>
            <xm:f>'Testing Chart'!$O$2:$O$18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E8EC-3F66-4865-B6CF-67A99B851DE2}">
  <dimension ref="A1:AB101"/>
  <sheetViews>
    <sheetView topLeftCell="A5" zoomScale="85" zoomScaleNormal="85" workbookViewId="0">
      <selection activeCell="A19" sqref="A19:A20"/>
    </sheetView>
  </sheetViews>
  <sheetFormatPr defaultColWidth="8.85546875" defaultRowHeight="15" x14ac:dyDescent="0.2"/>
  <cols>
    <col min="1" max="1" width="24.140625" style="7" bestFit="1" customWidth="1"/>
    <col min="2" max="2" width="25.42578125" style="7" customWidth="1"/>
    <col min="3" max="3" width="19.85546875" style="8" bestFit="1" customWidth="1"/>
    <col min="4" max="4" width="16.85546875" style="28" bestFit="1" customWidth="1"/>
    <col min="5" max="5" width="11.85546875" style="8" customWidth="1"/>
    <col min="6" max="6" width="25.5703125" style="8" bestFit="1" customWidth="1"/>
    <col min="7" max="7" width="167" style="44" bestFit="1" customWidth="1"/>
    <col min="8" max="9" width="8.85546875" style="25"/>
    <col min="10" max="10" width="11.5703125" style="25" bestFit="1" customWidth="1"/>
    <col min="11" max="28" width="8.85546875" style="25"/>
    <col min="29" max="16384" width="8.85546875" style="7"/>
  </cols>
  <sheetData>
    <row r="1" spans="1:7" s="25" customFormat="1" x14ac:dyDescent="0.2">
      <c r="A1" s="19" t="s">
        <v>68</v>
      </c>
      <c r="B1" s="20">
        <f>BIO!$B$2</f>
        <v>43757</v>
      </c>
      <c r="C1" s="19" t="s">
        <v>87</v>
      </c>
      <c r="D1" s="21">
        <f ca="1">TODAY()</f>
        <v>45945</v>
      </c>
      <c r="E1" s="23"/>
      <c r="F1" s="23"/>
      <c r="G1" s="45"/>
    </row>
    <row r="2" spans="1:7" s="25" customFormat="1" x14ac:dyDescent="0.2">
      <c r="A2" s="19" t="s">
        <v>78</v>
      </c>
      <c r="B2" s="20" t="str">
        <f>BIO!$C$5</f>
        <v>3 Black Stripes</v>
      </c>
      <c r="C2" s="19" t="s">
        <v>5</v>
      </c>
      <c r="D2" s="21">
        <f>VLOOKUP(B3,Target,4,0)</f>
        <v>43847</v>
      </c>
      <c r="E2" s="23"/>
      <c r="F2" s="23"/>
      <c r="G2" s="45"/>
    </row>
    <row r="3" spans="1:7" s="25" customFormat="1" ht="15.75" x14ac:dyDescent="0.25">
      <c r="A3" s="30" t="s">
        <v>70</v>
      </c>
      <c r="B3" s="31" t="s">
        <v>13</v>
      </c>
      <c r="C3" s="19" t="s">
        <v>12</v>
      </c>
      <c r="D3" s="22">
        <f ca="1">SUM(D2-(TODAY()))</f>
        <v>-2098</v>
      </c>
      <c r="E3" s="23"/>
      <c r="F3" s="23"/>
      <c r="G3" s="45"/>
    </row>
    <row r="4" spans="1:7" s="25" customFormat="1" ht="15.75" x14ac:dyDescent="0.25">
      <c r="A4" s="243" t="s">
        <v>100</v>
      </c>
      <c r="B4" s="243"/>
      <c r="C4" s="243"/>
      <c r="D4" s="243"/>
      <c r="E4" s="243"/>
      <c r="F4" s="243"/>
      <c r="G4" s="243"/>
    </row>
    <row r="5" spans="1:7" s="25" customFormat="1" ht="15.75" x14ac:dyDescent="0.25">
      <c r="A5" s="34" t="s">
        <v>333</v>
      </c>
      <c r="B5" s="26" t="s">
        <v>112</v>
      </c>
      <c r="C5" s="26" t="s">
        <v>11</v>
      </c>
      <c r="D5" s="26" t="s">
        <v>200</v>
      </c>
      <c r="E5" s="26" t="s">
        <v>6</v>
      </c>
      <c r="F5" s="247" t="s">
        <v>347</v>
      </c>
      <c r="G5" s="248"/>
    </row>
    <row r="6" spans="1:7" s="92" customFormat="1" ht="15.75" x14ac:dyDescent="0.25">
      <c r="A6" s="31" t="s">
        <v>334</v>
      </c>
      <c r="B6" s="31"/>
      <c r="C6" s="31"/>
      <c r="D6" s="31"/>
      <c r="E6" s="31"/>
      <c r="F6" s="249"/>
      <c r="G6" s="249"/>
    </row>
    <row r="7" spans="1:7" s="92" customFormat="1" ht="15.75" x14ac:dyDescent="0.25">
      <c r="A7" s="97"/>
      <c r="B7" s="91"/>
      <c r="C7" s="91"/>
      <c r="D7" s="91"/>
      <c r="E7" s="91"/>
      <c r="F7" s="91"/>
      <c r="G7" s="91"/>
    </row>
    <row r="8" spans="1:7" s="25" customFormat="1" ht="15.75" x14ac:dyDescent="0.25">
      <c r="A8" s="34" t="s">
        <v>335</v>
      </c>
      <c r="B8" s="26" t="s">
        <v>112</v>
      </c>
      <c r="C8" s="26" t="s">
        <v>11</v>
      </c>
      <c r="D8" s="26" t="s">
        <v>200</v>
      </c>
      <c r="E8" s="26" t="s">
        <v>6</v>
      </c>
      <c r="F8" s="26" t="s">
        <v>470</v>
      </c>
      <c r="G8" s="46"/>
    </row>
    <row r="9" spans="1:7" s="92" customFormat="1" ht="15.75" x14ac:dyDescent="0.25">
      <c r="A9" s="94" t="s">
        <v>338</v>
      </c>
      <c r="B9" s="21">
        <f t="shared" ref="B9:B13" ca="1" si="0">TODAY()</f>
        <v>45945</v>
      </c>
      <c r="C9" s="12">
        <v>14</v>
      </c>
      <c r="D9" s="21">
        <f t="shared" ref="D9:D13" ca="1" si="1">SUM(B9+C9)</f>
        <v>45959</v>
      </c>
      <c r="E9" s="12" t="s">
        <v>56</v>
      </c>
      <c r="F9" s="94" t="s">
        <v>336</v>
      </c>
      <c r="G9" s="91"/>
    </row>
    <row r="10" spans="1:7" s="92" customFormat="1" ht="15.75" x14ac:dyDescent="0.25">
      <c r="A10" s="94" t="s">
        <v>337</v>
      </c>
      <c r="B10" s="21">
        <f t="shared" ca="1" si="0"/>
        <v>45945</v>
      </c>
      <c r="C10" s="12">
        <v>14</v>
      </c>
      <c r="D10" s="21">
        <f t="shared" ca="1" si="1"/>
        <v>45959</v>
      </c>
      <c r="E10" s="12" t="s">
        <v>56</v>
      </c>
      <c r="F10" s="94" t="s">
        <v>339</v>
      </c>
      <c r="G10" s="91"/>
    </row>
    <row r="11" spans="1:7" s="92" customFormat="1" ht="15.75" x14ac:dyDescent="0.25">
      <c r="A11" s="94" t="s">
        <v>340</v>
      </c>
      <c r="B11" s="21">
        <f t="shared" ca="1" si="0"/>
        <v>45945</v>
      </c>
      <c r="C11" s="12">
        <v>14</v>
      </c>
      <c r="D11" s="21">
        <f t="shared" ca="1" si="1"/>
        <v>45959</v>
      </c>
      <c r="E11" s="12" t="s">
        <v>56</v>
      </c>
      <c r="F11" s="94" t="s">
        <v>341</v>
      </c>
      <c r="G11" s="91"/>
    </row>
    <row r="12" spans="1:7" s="92" customFormat="1" ht="15.75" x14ac:dyDescent="0.25">
      <c r="A12" s="94" t="s">
        <v>342</v>
      </c>
      <c r="B12" s="21">
        <f t="shared" ca="1" si="0"/>
        <v>45945</v>
      </c>
      <c r="C12" s="12">
        <v>14</v>
      </c>
      <c r="D12" s="21">
        <f t="shared" ca="1" si="1"/>
        <v>45959</v>
      </c>
      <c r="E12" s="12" t="s">
        <v>56</v>
      </c>
      <c r="F12" s="94" t="s">
        <v>343</v>
      </c>
      <c r="G12" s="91"/>
    </row>
    <row r="13" spans="1:7" s="92" customFormat="1" ht="15.75" x14ac:dyDescent="0.25">
      <c r="A13" s="94" t="s">
        <v>344</v>
      </c>
      <c r="B13" s="21">
        <f t="shared" ca="1" si="0"/>
        <v>45945</v>
      </c>
      <c r="C13" s="12">
        <v>14</v>
      </c>
      <c r="D13" s="21">
        <f t="shared" ca="1" si="1"/>
        <v>45959</v>
      </c>
      <c r="E13" s="12" t="s">
        <v>56</v>
      </c>
      <c r="F13" s="94" t="s">
        <v>345</v>
      </c>
      <c r="G13" s="91"/>
    </row>
    <row r="14" spans="1:7" s="92" customFormat="1" ht="15.75" x14ac:dyDescent="0.25">
      <c r="A14" s="96"/>
      <c r="B14" s="95"/>
      <c r="C14" s="95"/>
      <c r="D14" s="95"/>
      <c r="E14" s="95"/>
      <c r="F14" s="95"/>
      <c r="G14" s="91"/>
    </row>
    <row r="15" spans="1:7" s="25" customFormat="1" ht="15.75" x14ac:dyDescent="0.25">
      <c r="A15" s="32" t="s">
        <v>0</v>
      </c>
      <c r="C15" s="23"/>
      <c r="D15" s="24"/>
      <c r="E15" s="23"/>
      <c r="F15" s="23"/>
      <c r="G15" s="45"/>
    </row>
    <row r="16" spans="1:7" s="25" customFormat="1" ht="15.75" x14ac:dyDescent="0.25">
      <c r="A16" s="34" t="s">
        <v>4</v>
      </c>
      <c r="B16" s="26" t="s">
        <v>112</v>
      </c>
      <c r="C16" s="26" t="s">
        <v>11</v>
      </c>
      <c r="D16" s="26" t="s">
        <v>200</v>
      </c>
      <c r="E16" s="26" t="s">
        <v>6</v>
      </c>
      <c r="F16" s="26" t="s">
        <v>470</v>
      </c>
      <c r="G16" s="46" t="s">
        <v>64</v>
      </c>
    </row>
    <row r="17" spans="1:7" s="25" customFormat="1" x14ac:dyDescent="0.2">
      <c r="A17" s="12">
        <v>1</v>
      </c>
      <c r="B17" s="21">
        <f ca="1">TODAY()</f>
        <v>45945</v>
      </c>
      <c r="C17" s="12">
        <v>14</v>
      </c>
      <c r="D17" s="21">
        <f ca="1">SUM(B17+C17)</f>
        <v>45959</v>
      </c>
      <c r="E17" s="12" t="s">
        <v>56</v>
      </c>
      <c r="F17" s="12" t="s">
        <v>327</v>
      </c>
      <c r="G17" s="47" t="s">
        <v>60</v>
      </c>
    </row>
    <row r="18" spans="1:7" s="25" customFormat="1" x14ac:dyDescent="0.2">
      <c r="A18" s="12">
        <v>2</v>
      </c>
      <c r="B18" s="21">
        <f ca="1">TODAY()</f>
        <v>45945</v>
      </c>
      <c r="C18" s="12">
        <v>14</v>
      </c>
      <c r="D18" s="21">
        <f ca="1">SUM(B18+C18)</f>
        <v>45959</v>
      </c>
      <c r="E18" s="12" t="s">
        <v>56</v>
      </c>
      <c r="F18" s="12" t="s">
        <v>328</v>
      </c>
      <c r="G18" s="47" t="s">
        <v>61</v>
      </c>
    </row>
    <row r="19" spans="1:7" s="25" customFormat="1" x14ac:dyDescent="0.2">
      <c r="A19" s="12">
        <v>3</v>
      </c>
      <c r="B19" s="21">
        <f ca="1">TODAY()</f>
        <v>45945</v>
      </c>
      <c r="C19" s="12">
        <v>14</v>
      </c>
      <c r="D19" s="21">
        <f ca="1">SUM(B19+C19)</f>
        <v>45959</v>
      </c>
      <c r="E19" s="12" t="s">
        <v>56</v>
      </c>
      <c r="F19" s="12" t="s">
        <v>329</v>
      </c>
      <c r="G19" s="47" t="s">
        <v>62</v>
      </c>
    </row>
    <row r="20" spans="1:7" s="25" customFormat="1" x14ac:dyDescent="0.2">
      <c r="A20" s="12">
        <v>4</v>
      </c>
      <c r="B20" s="21">
        <f ca="1">TODAY()</f>
        <v>45945</v>
      </c>
      <c r="C20" s="12">
        <v>14</v>
      </c>
      <c r="D20" s="21">
        <f ca="1">SUM(B20+C20)</f>
        <v>45959</v>
      </c>
      <c r="E20" s="12" t="s">
        <v>56</v>
      </c>
      <c r="F20" s="12" t="s">
        <v>330</v>
      </c>
      <c r="G20" s="47" t="s">
        <v>63</v>
      </c>
    </row>
    <row r="21" spans="1:7" s="25" customFormat="1" x14ac:dyDescent="0.2">
      <c r="A21" s="12">
        <v>5</v>
      </c>
      <c r="B21" s="21">
        <f ca="1">TODAY()</f>
        <v>45945</v>
      </c>
      <c r="C21" s="12">
        <v>14</v>
      </c>
      <c r="D21" s="21">
        <f ca="1">SUM(B21+C21)</f>
        <v>45959</v>
      </c>
      <c r="E21" s="12" t="s">
        <v>56</v>
      </c>
      <c r="F21" s="12" t="s">
        <v>331</v>
      </c>
      <c r="G21" s="47" t="s">
        <v>332</v>
      </c>
    </row>
    <row r="22" spans="1:7" s="25" customFormat="1" x14ac:dyDescent="0.2">
      <c r="D22" s="24"/>
      <c r="E22" s="23"/>
      <c r="F22" s="23"/>
      <c r="G22" s="45"/>
    </row>
    <row r="23" spans="1:7" s="25" customFormat="1" ht="15.75" x14ac:dyDescent="0.25">
      <c r="A23" s="250" t="s">
        <v>99</v>
      </c>
      <c r="B23" s="251"/>
      <c r="C23" s="251"/>
      <c r="D23" s="251"/>
      <c r="E23" s="251"/>
      <c r="F23" s="251"/>
      <c r="G23" s="252"/>
    </row>
    <row r="24" spans="1:7" s="25" customFormat="1" ht="15.75" x14ac:dyDescent="0.25">
      <c r="A24" s="33" t="s">
        <v>0</v>
      </c>
      <c r="C24" s="23"/>
      <c r="D24" s="24"/>
      <c r="E24" s="23"/>
      <c r="F24" s="23"/>
      <c r="G24" s="45"/>
    </row>
    <row r="25" spans="1:7" s="25" customFormat="1" ht="15.75" x14ac:dyDescent="0.25">
      <c r="A25" s="34" t="s">
        <v>2</v>
      </c>
      <c r="B25" s="26" t="s">
        <v>112</v>
      </c>
      <c r="C25" s="26" t="s">
        <v>11</v>
      </c>
      <c r="D25" s="26" t="s">
        <v>200</v>
      </c>
      <c r="E25" s="26" t="s">
        <v>6</v>
      </c>
      <c r="F25" s="26" t="s">
        <v>470</v>
      </c>
      <c r="G25" s="46" t="s">
        <v>65</v>
      </c>
    </row>
    <row r="26" spans="1:7" s="25" customFormat="1" x14ac:dyDescent="0.2">
      <c r="A26" s="12">
        <v>1</v>
      </c>
      <c r="B26" s="67">
        <f t="shared" ref="B26:B32" ca="1" si="2">TODAY()</f>
        <v>45945</v>
      </c>
      <c r="C26" s="12">
        <v>14</v>
      </c>
      <c r="D26" s="21">
        <f ca="1">SUM(B26+C26)</f>
        <v>45959</v>
      </c>
      <c r="E26" s="12" t="s">
        <v>56</v>
      </c>
      <c r="F26" s="12" t="s">
        <v>307</v>
      </c>
      <c r="G26" s="47"/>
    </row>
    <row r="27" spans="1:7" s="25" customFormat="1" x14ac:dyDescent="0.2">
      <c r="A27" s="12">
        <v>2</v>
      </c>
      <c r="B27" s="67">
        <f t="shared" ca="1" si="2"/>
        <v>45945</v>
      </c>
      <c r="C27" s="12">
        <v>14</v>
      </c>
      <c r="D27" s="21">
        <f ca="1">SUM(B27+C27)</f>
        <v>45959</v>
      </c>
      <c r="E27" s="12" t="s">
        <v>56</v>
      </c>
      <c r="F27" s="12" t="s">
        <v>321</v>
      </c>
      <c r="G27" s="47"/>
    </row>
    <row r="28" spans="1:7" s="25" customFormat="1" x14ac:dyDescent="0.2">
      <c r="A28" s="12">
        <v>3</v>
      </c>
      <c r="B28" s="67">
        <f t="shared" ca="1" si="2"/>
        <v>45945</v>
      </c>
      <c r="C28" s="12">
        <v>14</v>
      </c>
      <c r="D28" s="21">
        <f ca="1">SUM(B28+C28)</f>
        <v>45959</v>
      </c>
      <c r="E28" s="12" t="s">
        <v>56</v>
      </c>
      <c r="F28" s="12" t="s">
        <v>322</v>
      </c>
      <c r="G28" s="47"/>
    </row>
    <row r="29" spans="1:7" s="25" customFormat="1" x14ac:dyDescent="0.2">
      <c r="A29" s="12">
        <v>4</v>
      </c>
      <c r="B29" s="67">
        <f t="shared" ca="1" si="2"/>
        <v>45945</v>
      </c>
      <c r="C29" s="12">
        <v>14</v>
      </c>
      <c r="D29" s="21">
        <f ca="1">SUM(B29+C29)</f>
        <v>45959</v>
      </c>
      <c r="E29" s="12" t="s">
        <v>56</v>
      </c>
      <c r="F29" s="12" t="s">
        <v>306</v>
      </c>
      <c r="G29" s="47"/>
    </row>
    <row r="30" spans="1:7" s="25" customFormat="1" x14ac:dyDescent="0.2">
      <c r="A30" s="12">
        <v>5</v>
      </c>
      <c r="B30" s="67">
        <f t="shared" ca="1" si="2"/>
        <v>45945</v>
      </c>
      <c r="C30" s="12">
        <v>14</v>
      </c>
      <c r="D30" s="21">
        <f ca="1">SUM(B30+C30)</f>
        <v>45959</v>
      </c>
      <c r="E30" s="12" t="s">
        <v>56</v>
      </c>
      <c r="F30" s="12" t="s">
        <v>323</v>
      </c>
      <c r="G30" s="47"/>
    </row>
    <row r="31" spans="1:7" s="25" customFormat="1" x14ac:dyDescent="0.2">
      <c r="A31" s="12">
        <v>6</v>
      </c>
      <c r="B31" s="67">
        <f t="shared" ref="B31:B40" ca="1" si="3">TODAY()</f>
        <v>45945</v>
      </c>
      <c r="C31" s="12">
        <v>14</v>
      </c>
      <c r="D31" s="21">
        <f t="shared" ref="D31:D40" ca="1" si="4">SUM(B31+C31)</f>
        <v>45959</v>
      </c>
      <c r="E31" s="12" t="s">
        <v>56</v>
      </c>
      <c r="F31" s="12" t="s">
        <v>324</v>
      </c>
      <c r="G31" s="47"/>
    </row>
    <row r="32" spans="1:7" s="25" customFormat="1" x14ac:dyDescent="0.2">
      <c r="A32" s="12">
        <v>7</v>
      </c>
      <c r="B32" s="67">
        <f t="shared" ca="1" si="2"/>
        <v>45945</v>
      </c>
      <c r="C32" s="12">
        <v>14</v>
      </c>
      <c r="D32" s="21">
        <f t="shared" ca="1" si="4"/>
        <v>45959</v>
      </c>
      <c r="E32" s="12" t="s">
        <v>56</v>
      </c>
      <c r="F32" s="12" t="s">
        <v>325</v>
      </c>
      <c r="G32" s="47"/>
    </row>
    <row r="33" spans="1:7" s="25" customFormat="1" x14ac:dyDescent="0.2">
      <c r="A33" s="12">
        <v>8</v>
      </c>
      <c r="B33" s="67">
        <f t="shared" ca="1" si="3"/>
        <v>45945</v>
      </c>
      <c r="C33" s="12">
        <v>14</v>
      </c>
      <c r="D33" s="21">
        <f t="shared" ca="1" si="4"/>
        <v>45959</v>
      </c>
      <c r="E33" s="12" t="s">
        <v>56</v>
      </c>
      <c r="F33" s="12" t="s">
        <v>326</v>
      </c>
      <c r="G33" s="47"/>
    </row>
    <row r="34" spans="1:7" s="25" customFormat="1" x14ac:dyDescent="0.2">
      <c r="A34" s="12">
        <v>9</v>
      </c>
      <c r="B34" s="67">
        <f t="shared" ca="1" si="3"/>
        <v>45945</v>
      </c>
      <c r="C34" s="12">
        <v>14</v>
      </c>
      <c r="D34" s="21">
        <f t="shared" ca="1" si="4"/>
        <v>45959</v>
      </c>
      <c r="E34" s="12" t="s">
        <v>56</v>
      </c>
      <c r="F34" s="12" t="s">
        <v>318</v>
      </c>
      <c r="G34" s="47"/>
    </row>
    <row r="35" spans="1:7" s="25" customFormat="1" x14ac:dyDescent="0.2">
      <c r="A35" s="12">
        <v>10</v>
      </c>
      <c r="B35" s="67">
        <f t="shared" ca="1" si="3"/>
        <v>45945</v>
      </c>
      <c r="C35" s="12">
        <v>14</v>
      </c>
      <c r="D35" s="21">
        <f t="shared" ca="1" si="4"/>
        <v>45959</v>
      </c>
      <c r="E35" s="12" t="s">
        <v>56</v>
      </c>
      <c r="F35" s="12" t="s">
        <v>314</v>
      </c>
      <c r="G35" s="47"/>
    </row>
    <row r="36" spans="1:7" s="25" customFormat="1" x14ac:dyDescent="0.2">
      <c r="A36" s="12">
        <v>11</v>
      </c>
      <c r="B36" s="67">
        <f t="shared" ca="1" si="3"/>
        <v>45945</v>
      </c>
      <c r="C36" s="12">
        <v>14</v>
      </c>
      <c r="D36" s="21">
        <f t="shared" ca="1" si="4"/>
        <v>45959</v>
      </c>
      <c r="E36" s="12" t="s">
        <v>56</v>
      </c>
      <c r="F36" s="12" t="s">
        <v>315</v>
      </c>
      <c r="G36" s="47"/>
    </row>
    <row r="37" spans="1:7" s="25" customFormat="1" x14ac:dyDescent="0.2">
      <c r="A37" s="12">
        <v>12</v>
      </c>
      <c r="B37" s="67">
        <f t="shared" ca="1" si="3"/>
        <v>45945</v>
      </c>
      <c r="C37" s="12">
        <v>14</v>
      </c>
      <c r="D37" s="21">
        <f t="shared" ca="1" si="4"/>
        <v>45959</v>
      </c>
      <c r="E37" s="12" t="s">
        <v>56</v>
      </c>
      <c r="F37" s="12" t="s">
        <v>316</v>
      </c>
      <c r="G37" s="47"/>
    </row>
    <row r="38" spans="1:7" s="25" customFormat="1" x14ac:dyDescent="0.2">
      <c r="A38" s="12">
        <v>13</v>
      </c>
      <c r="B38" s="67">
        <f t="shared" ca="1" si="3"/>
        <v>45945</v>
      </c>
      <c r="C38" s="12">
        <v>14</v>
      </c>
      <c r="D38" s="21">
        <f t="shared" ca="1" si="4"/>
        <v>45959</v>
      </c>
      <c r="E38" s="12" t="s">
        <v>56</v>
      </c>
      <c r="F38" s="12" t="s">
        <v>317</v>
      </c>
      <c r="G38" s="47"/>
    </row>
    <row r="39" spans="1:7" s="25" customFormat="1" x14ac:dyDescent="0.2">
      <c r="A39" s="12">
        <v>14</v>
      </c>
      <c r="B39" s="67">
        <f t="shared" ca="1" si="3"/>
        <v>45945</v>
      </c>
      <c r="C39" s="12">
        <v>14</v>
      </c>
      <c r="D39" s="21">
        <f t="shared" ca="1" si="4"/>
        <v>45959</v>
      </c>
      <c r="E39" s="12" t="s">
        <v>56</v>
      </c>
      <c r="F39" s="12" t="s">
        <v>319</v>
      </c>
      <c r="G39" s="47"/>
    </row>
    <row r="40" spans="1:7" s="25" customFormat="1" x14ac:dyDescent="0.2">
      <c r="A40" s="12">
        <v>15</v>
      </c>
      <c r="B40" s="84">
        <f t="shared" ca="1" si="3"/>
        <v>45945</v>
      </c>
      <c r="C40" s="12">
        <v>14</v>
      </c>
      <c r="D40" s="21">
        <f t="shared" ca="1" si="4"/>
        <v>45959</v>
      </c>
      <c r="E40" s="12" t="s">
        <v>56</v>
      </c>
      <c r="F40" s="12" t="s">
        <v>320</v>
      </c>
      <c r="G40" s="47"/>
    </row>
    <row r="41" spans="1:7" s="25" customFormat="1" x14ac:dyDescent="0.2">
      <c r="D41" s="24"/>
      <c r="E41" s="23"/>
      <c r="F41" s="23"/>
      <c r="G41" s="45"/>
    </row>
    <row r="42" spans="1:7" s="25" customFormat="1" ht="15.75" x14ac:dyDescent="0.25">
      <c r="A42" s="65" t="s">
        <v>1</v>
      </c>
      <c r="D42" s="24"/>
      <c r="E42" s="23"/>
      <c r="F42" s="23"/>
      <c r="G42" s="45"/>
    </row>
    <row r="43" spans="1:7" s="25" customFormat="1" ht="15.75" x14ac:dyDescent="0.25">
      <c r="A43" s="253" t="s">
        <v>169</v>
      </c>
      <c r="B43" s="254"/>
      <c r="C43" s="254"/>
      <c r="D43" s="254"/>
      <c r="E43" s="254"/>
      <c r="F43" s="254"/>
      <c r="G43" s="255"/>
    </row>
    <row r="44" spans="1:7" s="25" customFormat="1" ht="15.75" x14ac:dyDescent="0.25">
      <c r="A44" s="48" t="s">
        <v>1</v>
      </c>
      <c r="D44" s="24"/>
      <c r="E44" s="23"/>
      <c r="F44" s="23"/>
      <c r="G44" s="45"/>
    </row>
    <row r="45" spans="1:7" s="25" customFormat="1" ht="15.75" x14ac:dyDescent="0.25">
      <c r="A45" s="244" t="s">
        <v>9</v>
      </c>
      <c r="B45" s="244"/>
      <c r="C45" s="244"/>
      <c r="D45" s="244"/>
      <c r="E45" s="244"/>
      <c r="F45" s="244"/>
      <c r="G45" s="244"/>
    </row>
    <row r="46" spans="1:7" s="25" customFormat="1" ht="15.75" x14ac:dyDescent="0.25">
      <c r="A46" s="34" t="s">
        <v>48</v>
      </c>
      <c r="B46" s="26" t="s">
        <v>112</v>
      </c>
      <c r="C46" s="26" t="s">
        <v>11</v>
      </c>
      <c r="D46" s="26" t="s">
        <v>200</v>
      </c>
      <c r="E46" s="26" t="s">
        <v>6</v>
      </c>
      <c r="F46" s="237" t="s">
        <v>7</v>
      </c>
      <c r="G46" s="238"/>
    </row>
    <row r="47" spans="1:7" s="25" customFormat="1" ht="15.75" x14ac:dyDescent="0.25">
      <c r="A47" s="43"/>
      <c r="B47" s="67">
        <f ca="1">TODAY()</f>
        <v>45945</v>
      </c>
      <c r="C47" s="68">
        <v>14</v>
      </c>
      <c r="D47" s="69">
        <f ca="1">SUM(B47+C47)</f>
        <v>45959</v>
      </c>
      <c r="E47" s="68" t="s">
        <v>56</v>
      </c>
      <c r="F47" s="245"/>
      <c r="G47" s="246"/>
    </row>
    <row r="48" spans="1:7" ht="15.75" x14ac:dyDescent="0.25">
      <c r="A48" s="34" t="s">
        <v>49</v>
      </c>
      <c r="B48" s="26" t="s">
        <v>112</v>
      </c>
      <c r="C48" s="26" t="s">
        <v>11</v>
      </c>
      <c r="D48" s="26" t="s">
        <v>200</v>
      </c>
      <c r="E48" s="26" t="s">
        <v>6</v>
      </c>
      <c r="F48" s="237" t="s">
        <v>7</v>
      </c>
      <c r="G48" s="238"/>
    </row>
    <row r="49" spans="1:7" x14ac:dyDescent="0.2">
      <c r="A49" s="12"/>
      <c r="B49" s="84">
        <f ca="1">TODAY()</f>
        <v>45945</v>
      </c>
      <c r="C49" s="22">
        <v>14</v>
      </c>
      <c r="D49" s="20">
        <f ca="1">SUM(B49+C49)</f>
        <v>45959</v>
      </c>
      <c r="E49" s="72" t="s">
        <v>56</v>
      </c>
      <c r="F49" s="239"/>
      <c r="G49" s="240"/>
    </row>
    <row r="50" spans="1:7" ht="15.75" x14ac:dyDescent="0.25">
      <c r="A50" s="34" t="s">
        <v>50</v>
      </c>
      <c r="B50" s="66" t="s">
        <v>112</v>
      </c>
      <c r="C50" s="66" t="s">
        <v>11</v>
      </c>
      <c r="D50" s="26" t="s">
        <v>200</v>
      </c>
      <c r="E50" s="66" t="s">
        <v>6</v>
      </c>
      <c r="F50" s="237" t="s">
        <v>7</v>
      </c>
      <c r="G50" s="238"/>
    </row>
    <row r="51" spans="1:7" x14ac:dyDescent="0.2">
      <c r="A51" s="12"/>
      <c r="B51" s="67">
        <f ca="1">TODAY()</f>
        <v>45945</v>
      </c>
      <c r="C51" s="22">
        <v>14</v>
      </c>
      <c r="D51" s="20">
        <f ca="1">SUM(B51+C51)</f>
        <v>45959</v>
      </c>
      <c r="E51" s="72" t="s">
        <v>56</v>
      </c>
      <c r="F51" s="239"/>
      <c r="G51" s="240"/>
    </row>
    <row r="52" spans="1:7" s="25" customFormat="1" ht="15.75" x14ac:dyDescent="0.25">
      <c r="A52" s="11" t="s">
        <v>170</v>
      </c>
      <c r="B52" s="51" t="s">
        <v>112</v>
      </c>
      <c r="C52" s="26" t="s">
        <v>11</v>
      </c>
      <c r="D52" s="26" t="s">
        <v>200</v>
      </c>
      <c r="E52" s="26" t="s">
        <v>6</v>
      </c>
      <c r="F52" s="237" t="s">
        <v>7</v>
      </c>
      <c r="G52" s="238"/>
    </row>
    <row r="53" spans="1:7" s="25" customFormat="1" ht="15.75" x14ac:dyDescent="0.25">
      <c r="A53" s="43"/>
      <c r="B53" s="67">
        <f ca="1">TODAY()</f>
        <v>45945</v>
      </c>
      <c r="C53" s="12">
        <v>14</v>
      </c>
      <c r="D53" s="21">
        <f ca="1">SUM(B53+C53)</f>
        <v>45959</v>
      </c>
      <c r="E53" s="12" t="s">
        <v>56</v>
      </c>
      <c r="F53" s="241"/>
      <c r="G53" s="242"/>
    </row>
    <row r="54" spans="1:7" ht="15.75" x14ac:dyDescent="0.25">
      <c r="A54" s="54" t="s">
        <v>179</v>
      </c>
      <c r="B54" s="52" t="s">
        <v>112</v>
      </c>
      <c r="C54" s="52" t="s">
        <v>11</v>
      </c>
      <c r="D54" s="53" t="s">
        <v>200</v>
      </c>
      <c r="E54" s="52" t="s">
        <v>6</v>
      </c>
      <c r="F54" s="237" t="s">
        <v>7</v>
      </c>
      <c r="G54" s="238"/>
    </row>
    <row r="55" spans="1:7" ht="15.75" x14ac:dyDescent="0.25">
      <c r="A55" s="43"/>
      <c r="B55" s="29">
        <f ca="1">TODAY()</f>
        <v>45945</v>
      </c>
      <c r="C55" s="12">
        <v>14</v>
      </c>
      <c r="D55" s="21">
        <f ca="1">SUM(B55+C55)</f>
        <v>45959</v>
      </c>
      <c r="E55" s="12" t="s">
        <v>56</v>
      </c>
      <c r="F55" s="241"/>
      <c r="G55" s="242"/>
    </row>
    <row r="56" spans="1:7" ht="15.75" x14ac:dyDescent="0.25">
      <c r="A56" s="54" t="s">
        <v>190</v>
      </c>
      <c r="B56" s="52" t="s">
        <v>112</v>
      </c>
      <c r="C56" s="52" t="s">
        <v>11</v>
      </c>
      <c r="D56" s="53" t="s">
        <v>200</v>
      </c>
      <c r="E56" s="52" t="s">
        <v>6</v>
      </c>
      <c r="F56" s="237" t="s">
        <v>7</v>
      </c>
      <c r="G56" s="238"/>
    </row>
    <row r="57" spans="1:7" ht="15.75" x14ac:dyDescent="0.25">
      <c r="A57" s="43"/>
      <c r="B57" s="29">
        <f ca="1">TODAY()</f>
        <v>45945</v>
      </c>
      <c r="C57" s="12">
        <v>14</v>
      </c>
      <c r="D57" s="21">
        <f ca="1">SUM(B57+C57)</f>
        <v>45959</v>
      </c>
      <c r="E57" s="12" t="s">
        <v>56</v>
      </c>
      <c r="F57" s="241"/>
      <c r="G57" s="242"/>
    </row>
    <row r="59" spans="1:7" s="25" customFormat="1" x14ac:dyDescent="0.2">
      <c r="A59" s="7"/>
      <c r="B59" s="7"/>
      <c r="C59" s="8"/>
      <c r="D59" s="28"/>
      <c r="E59" s="8"/>
      <c r="F59" s="8"/>
      <c r="G59" s="44"/>
    </row>
    <row r="60" spans="1:7" s="25" customFormat="1" x14ac:dyDescent="0.2">
      <c r="A60" s="7"/>
      <c r="B60" s="7"/>
      <c r="C60" s="8"/>
      <c r="D60" s="28"/>
      <c r="E60" s="8"/>
      <c r="F60" s="8"/>
      <c r="G60" s="44"/>
    </row>
    <row r="61" spans="1:7" s="25" customFormat="1" x14ac:dyDescent="0.2">
      <c r="A61" s="7"/>
      <c r="B61" s="7"/>
      <c r="C61" s="8"/>
      <c r="D61" s="28"/>
      <c r="E61" s="8"/>
      <c r="F61" s="8"/>
      <c r="G61" s="44"/>
    </row>
    <row r="62" spans="1:7" s="25" customFormat="1" x14ac:dyDescent="0.2">
      <c r="A62" s="7"/>
      <c r="B62" s="7"/>
      <c r="C62" s="8"/>
      <c r="D62" s="28"/>
      <c r="E62" s="8"/>
      <c r="F62" s="8"/>
      <c r="G62" s="44"/>
    </row>
    <row r="63" spans="1:7" s="25" customFormat="1" x14ac:dyDescent="0.2">
      <c r="A63" s="7"/>
      <c r="B63" s="7"/>
      <c r="C63" s="8"/>
      <c r="D63" s="28"/>
      <c r="E63" s="8"/>
      <c r="F63" s="8"/>
      <c r="G63" s="44"/>
    </row>
    <row r="64" spans="1:7" s="25" customFormat="1" x14ac:dyDescent="0.2">
      <c r="A64" s="7"/>
      <c r="B64" s="7"/>
      <c r="C64" s="8"/>
      <c r="D64" s="28"/>
      <c r="E64" s="8"/>
      <c r="F64" s="8"/>
      <c r="G64" s="44"/>
    </row>
    <row r="65" spans="1:7" s="25" customFormat="1" x14ac:dyDescent="0.2">
      <c r="A65" s="7"/>
      <c r="B65" s="7"/>
      <c r="C65" s="8"/>
      <c r="D65" s="28"/>
      <c r="E65" s="8"/>
      <c r="F65" s="8"/>
      <c r="G65" s="44"/>
    </row>
    <row r="66" spans="1:7" s="25" customFormat="1" x14ac:dyDescent="0.2">
      <c r="A66" s="7"/>
      <c r="B66" s="7"/>
      <c r="C66" s="8"/>
      <c r="D66" s="28"/>
      <c r="E66" s="8"/>
      <c r="F66" s="8"/>
      <c r="G66" s="44"/>
    </row>
    <row r="67" spans="1:7" s="25" customFormat="1" x14ac:dyDescent="0.2">
      <c r="A67" s="7"/>
      <c r="B67" s="7"/>
      <c r="C67" s="8"/>
      <c r="D67" s="28"/>
      <c r="E67" s="8"/>
      <c r="F67" s="8"/>
      <c r="G67" s="44"/>
    </row>
    <row r="68" spans="1:7" s="25" customFormat="1" x14ac:dyDescent="0.2">
      <c r="A68" s="7"/>
      <c r="B68" s="7"/>
      <c r="C68" s="8"/>
      <c r="D68" s="28"/>
      <c r="E68" s="8"/>
      <c r="F68" s="8"/>
      <c r="G68" s="44"/>
    </row>
    <row r="69" spans="1:7" s="25" customFormat="1" x14ac:dyDescent="0.2">
      <c r="A69" s="7"/>
      <c r="B69" s="7"/>
      <c r="C69" s="8"/>
      <c r="D69" s="28"/>
      <c r="E69" s="8"/>
      <c r="F69" s="8"/>
      <c r="G69" s="44"/>
    </row>
    <row r="70" spans="1:7" s="25" customFormat="1" x14ac:dyDescent="0.2">
      <c r="A70" s="7"/>
      <c r="B70" s="7"/>
      <c r="C70" s="8"/>
      <c r="D70" s="28"/>
      <c r="E70" s="8"/>
      <c r="F70" s="8"/>
      <c r="G70" s="44"/>
    </row>
    <row r="71" spans="1:7" s="25" customFormat="1" x14ac:dyDescent="0.2">
      <c r="A71" s="7"/>
      <c r="B71" s="7"/>
      <c r="C71" s="8"/>
      <c r="D71" s="28"/>
      <c r="E71" s="8"/>
      <c r="F71" s="8"/>
      <c r="G71" s="44"/>
    </row>
    <row r="72" spans="1:7" s="25" customFormat="1" x14ac:dyDescent="0.2">
      <c r="A72" s="7"/>
      <c r="B72" s="7"/>
      <c r="C72" s="8"/>
      <c r="D72" s="28"/>
      <c r="E72" s="8"/>
      <c r="F72" s="8"/>
      <c r="G72" s="44"/>
    </row>
    <row r="73" spans="1:7" s="25" customFormat="1" x14ac:dyDescent="0.2">
      <c r="A73" s="7"/>
      <c r="B73" s="7"/>
      <c r="C73" s="8"/>
      <c r="D73" s="28"/>
      <c r="E73" s="8"/>
      <c r="F73" s="8"/>
      <c r="G73" s="44"/>
    </row>
    <row r="74" spans="1:7" s="25" customFormat="1" x14ac:dyDescent="0.2">
      <c r="A74" s="7"/>
      <c r="B74" s="7"/>
      <c r="C74" s="8"/>
      <c r="D74" s="28"/>
      <c r="E74" s="8"/>
      <c r="F74" s="8"/>
      <c r="G74" s="44"/>
    </row>
    <row r="75" spans="1:7" s="25" customFormat="1" x14ac:dyDescent="0.2">
      <c r="A75" s="7"/>
      <c r="B75" s="7"/>
      <c r="C75" s="8"/>
      <c r="D75" s="28"/>
      <c r="E75" s="8"/>
      <c r="F75" s="8"/>
      <c r="G75" s="44"/>
    </row>
    <row r="76" spans="1:7" s="25" customFormat="1" x14ac:dyDescent="0.2">
      <c r="A76" s="7"/>
      <c r="B76" s="7"/>
      <c r="C76" s="8"/>
      <c r="D76" s="28"/>
      <c r="E76" s="8"/>
      <c r="F76" s="8"/>
      <c r="G76" s="44"/>
    </row>
    <row r="77" spans="1:7" s="25" customFormat="1" x14ac:dyDescent="0.2">
      <c r="A77" s="7"/>
      <c r="B77" s="7"/>
      <c r="C77" s="8"/>
      <c r="D77" s="28"/>
      <c r="E77" s="8"/>
      <c r="F77" s="8"/>
      <c r="G77" s="44"/>
    </row>
    <row r="78" spans="1:7" s="25" customFormat="1" x14ac:dyDescent="0.2">
      <c r="A78" s="7"/>
      <c r="B78" s="7"/>
      <c r="C78" s="8"/>
      <c r="D78" s="28"/>
      <c r="E78" s="8"/>
      <c r="F78" s="8"/>
      <c r="G78" s="44"/>
    </row>
    <row r="79" spans="1:7" s="25" customFormat="1" x14ac:dyDescent="0.2">
      <c r="A79" s="7"/>
      <c r="B79" s="7"/>
      <c r="C79" s="8"/>
      <c r="D79" s="28"/>
      <c r="E79" s="8"/>
      <c r="F79" s="8"/>
      <c r="G79" s="44"/>
    </row>
    <row r="80" spans="1:7" s="25" customFormat="1" x14ac:dyDescent="0.2">
      <c r="A80" s="7"/>
      <c r="B80" s="7"/>
      <c r="C80" s="8"/>
      <c r="D80" s="28"/>
      <c r="E80" s="8"/>
      <c r="F80" s="8"/>
      <c r="G80" s="44"/>
    </row>
    <row r="81" spans="1:7" s="25" customFormat="1" x14ac:dyDescent="0.2">
      <c r="A81" s="7"/>
      <c r="B81" s="7"/>
      <c r="C81" s="8"/>
      <c r="D81" s="28"/>
      <c r="E81" s="8"/>
      <c r="F81" s="8"/>
      <c r="G81" s="44"/>
    </row>
    <row r="82" spans="1:7" s="25" customFormat="1" x14ac:dyDescent="0.2">
      <c r="A82" s="7"/>
      <c r="B82" s="7"/>
      <c r="C82" s="8"/>
      <c r="D82" s="28"/>
      <c r="E82" s="8"/>
      <c r="F82" s="8"/>
      <c r="G82" s="44"/>
    </row>
    <row r="83" spans="1:7" s="25" customFormat="1" x14ac:dyDescent="0.2">
      <c r="A83" s="7"/>
      <c r="B83" s="7"/>
      <c r="C83" s="8"/>
      <c r="D83" s="28"/>
      <c r="E83" s="8"/>
      <c r="F83" s="8"/>
      <c r="G83" s="44"/>
    </row>
    <row r="84" spans="1:7" s="25" customFormat="1" x14ac:dyDescent="0.2">
      <c r="A84" s="7"/>
      <c r="B84" s="7"/>
      <c r="C84" s="8"/>
      <c r="D84" s="28"/>
      <c r="E84" s="8"/>
      <c r="F84" s="8"/>
      <c r="G84" s="44"/>
    </row>
    <row r="85" spans="1:7" s="25" customFormat="1" x14ac:dyDescent="0.2">
      <c r="A85" s="7"/>
      <c r="B85" s="7"/>
      <c r="C85" s="8"/>
      <c r="D85" s="28"/>
      <c r="E85" s="8"/>
      <c r="F85" s="8"/>
      <c r="G85" s="44"/>
    </row>
    <row r="86" spans="1:7" s="25" customFormat="1" x14ac:dyDescent="0.2">
      <c r="A86" s="7"/>
      <c r="B86" s="7"/>
      <c r="C86" s="8"/>
      <c r="D86" s="28"/>
      <c r="E86" s="8"/>
      <c r="F86" s="8"/>
      <c r="G86" s="44"/>
    </row>
    <row r="87" spans="1:7" s="25" customFormat="1" x14ac:dyDescent="0.2">
      <c r="A87" s="7"/>
      <c r="B87" s="7"/>
      <c r="C87" s="8"/>
      <c r="D87" s="28"/>
      <c r="E87" s="8"/>
      <c r="F87" s="8"/>
      <c r="G87" s="44"/>
    </row>
    <row r="88" spans="1:7" s="25" customFormat="1" x14ac:dyDescent="0.2">
      <c r="A88" s="7"/>
      <c r="B88" s="7"/>
      <c r="C88" s="8"/>
      <c r="D88" s="28"/>
      <c r="E88" s="8"/>
      <c r="F88" s="8"/>
      <c r="G88" s="44"/>
    </row>
    <row r="89" spans="1:7" s="25" customFormat="1" x14ac:dyDescent="0.2">
      <c r="A89" s="7"/>
      <c r="B89" s="7"/>
      <c r="C89" s="8"/>
      <c r="D89" s="28"/>
      <c r="E89" s="8"/>
      <c r="F89" s="8"/>
      <c r="G89" s="44"/>
    </row>
    <row r="90" spans="1:7" s="25" customFormat="1" x14ac:dyDescent="0.2">
      <c r="A90" s="7"/>
      <c r="B90" s="7"/>
      <c r="C90" s="8"/>
      <c r="D90" s="28"/>
      <c r="E90" s="8"/>
      <c r="F90" s="8"/>
      <c r="G90" s="44"/>
    </row>
    <row r="91" spans="1:7" s="25" customFormat="1" x14ac:dyDescent="0.2">
      <c r="A91" s="7"/>
      <c r="B91" s="7"/>
      <c r="C91" s="8"/>
      <c r="D91" s="28"/>
      <c r="E91" s="8"/>
      <c r="F91" s="8"/>
      <c r="G91" s="44"/>
    </row>
    <row r="92" spans="1:7" s="25" customFormat="1" x14ac:dyDescent="0.2">
      <c r="A92" s="7"/>
      <c r="B92" s="7"/>
      <c r="C92" s="8"/>
      <c r="D92" s="28"/>
      <c r="E92" s="8"/>
      <c r="F92" s="8"/>
      <c r="G92" s="44"/>
    </row>
    <row r="93" spans="1:7" s="25" customFormat="1" x14ac:dyDescent="0.2">
      <c r="A93" s="7"/>
      <c r="B93" s="7"/>
      <c r="C93" s="8"/>
      <c r="D93" s="28"/>
      <c r="E93" s="8"/>
      <c r="F93" s="8"/>
      <c r="G93" s="44"/>
    </row>
    <row r="94" spans="1:7" s="25" customFormat="1" x14ac:dyDescent="0.2">
      <c r="A94" s="7"/>
      <c r="B94" s="7"/>
      <c r="C94" s="8"/>
      <c r="D94" s="28"/>
      <c r="E94" s="8"/>
      <c r="F94" s="8"/>
      <c r="G94" s="44"/>
    </row>
    <row r="95" spans="1:7" s="25" customFormat="1" x14ac:dyDescent="0.2">
      <c r="A95" s="7"/>
      <c r="B95" s="7"/>
      <c r="C95" s="8"/>
      <c r="D95" s="28"/>
      <c r="E95" s="8"/>
      <c r="F95" s="8"/>
      <c r="G95" s="44"/>
    </row>
    <row r="96" spans="1:7" s="25" customFormat="1" x14ac:dyDescent="0.2">
      <c r="A96" s="7"/>
      <c r="B96" s="7"/>
      <c r="C96" s="8"/>
      <c r="D96" s="28"/>
      <c r="E96" s="8"/>
      <c r="F96" s="8"/>
      <c r="G96" s="44"/>
    </row>
    <row r="97" spans="1:7" s="25" customFormat="1" x14ac:dyDescent="0.2">
      <c r="A97" s="7"/>
      <c r="B97" s="7"/>
      <c r="C97" s="8"/>
      <c r="D97" s="28"/>
      <c r="E97" s="8"/>
      <c r="F97" s="8"/>
      <c r="G97" s="44"/>
    </row>
    <row r="98" spans="1:7" s="25" customFormat="1" x14ac:dyDescent="0.2">
      <c r="A98" s="7"/>
      <c r="B98" s="7"/>
      <c r="C98" s="8"/>
      <c r="D98" s="28"/>
      <c r="E98" s="8"/>
      <c r="F98" s="8"/>
      <c r="G98" s="44"/>
    </row>
    <row r="99" spans="1:7" s="25" customFormat="1" x14ac:dyDescent="0.2">
      <c r="A99" s="7"/>
      <c r="B99" s="7"/>
      <c r="C99" s="8"/>
      <c r="D99" s="28"/>
      <c r="E99" s="8"/>
      <c r="F99" s="8"/>
      <c r="G99" s="44"/>
    </row>
    <row r="100" spans="1:7" s="25" customFormat="1" x14ac:dyDescent="0.2">
      <c r="A100" s="7"/>
      <c r="B100" s="7"/>
      <c r="C100" s="8"/>
      <c r="D100" s="28"/>
      <c r="E100" s="8"/>
      <c r="F100" s="8"/>
      <c r="G100" s="44"/>
    </row>
    <row r="101" spans="1:7" s="25" customFormat="1" x14ac:dyDescent="0.2">
      <c r="A101" s="7"/>
      <c r="B101" s="7"/>
      <c r="C101" s="8"/>
      <c r="D101" s="28"/>
      <c r="E101" s="8"/>
      <c r="F101" s="8"/>
      <c r="G101" s="44"/>
    </row>
  </sheetData>
  <mergeCells count="18">
    <mergeCell ref="A4:G4"/>
    <mergeCell ref="A45:G45"/>
    <mergeCell ref="F46:G46"/>
    <mergeCell ref="F47:G47"/>
    <mergeCell ref="F5:G5"/>
    <mergeCell ref="F6:G6"/>
    <mergeCell ref="A23:G23"/>
    <mergeCell ref="A43:G43"/>
    <mergeCell ref="F56:G56"/>
    <mergeCell ref="F57:G57"/>
    <mergeCell ref="F55:G55"/>
    <mergeCell ref="F54:G54"/>
    <mergeCell ref="F53:G53"/>
    <mergeCell ref="F52:G52"/>
    <mergeCell ref="F50:G50"/>
    <mergeCell ref="F51:G51"/>
    <mergeCell ref="F49:G49"/>
    <mergeCell ref="F48:G48"/>
  </mergeCells>
  <dataValidations disablePrompts="1" count="2">
    <dataValidation type="list" allowBlank="1" showInputMessage="1" showErrorMessage="1" sqref="B3" xr:uid="{0F390A0A-D16C-4DC8-84C2-1B6F156DE625}">
      <formula1>"Yellow Stripe,Yellow Belt"</formula1>
    </dataValidation>
    <dataValidation type="list" allowBlank="1" showInputMessage="1" showErrorMessage="1" sqref="E46:E47 E51 E17:E21 E49 E55 E53 E57 E26:E40 E9:E13" xr:uid="{EFC928D6-3EE9-4D4D-A10B-9464E7E71135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DA27-1FDF-480C-94DC-47C605FA5B82}">
  <dimension ref="O1:S18"/>
  <sheetViews>
    <sheetView workbookViewId="0">
      <selection activeCell="R22" sqref="R22"/>
    </sheetView>
  </sheetViews>
  <sheetFormatPr defaultRowHeight="15" x14ac:dyDescent="0.25"/>
  <cols>
    <col min="15" max="15" width="21.5703125" bestFit="1" customWidth="1"/>
    <col min="16" max="16" width="18.140625" bestFit="1" customWidth="1"/>
    <col min="18" max="18" width="7.85546875" bestFit="1" customWidth="1"/>
    <col min="19" max="19" width="11.140625" bestFit="1" customWidth="1"/>
  </cols>
  <sheetData>
    <row r="1" spans="15:19" ht="15.75" x14ac:dyDescent="0.25">
      <c r="O1" s="15"/>
      <c r="P1" s="15" t="s">
        <v>98</v>
      </c>
      <c r="Q1" s="16" t="s">
        <v>86</v>
      </c>
      <c r="R1" s="16" t="s">
        <v>80</v>
      </c>
      <c r="S1" s="16" t="s">
        <v>73</v>
      </c>
    </row>
    <row r="2" spans="15:19" ht="15.75" x14ac:dyDescent="0.25">
      <c r="O2" s="11" t="s">
        <v>92</v>
      </c>
      <c r="P2" s="11" t="s">
        <v>3</v>
      </c>
      <c r="Q2" s="12">
        <v>0</v>
      </c>
      <c r="R2" s="12">
        <v>0</v>
      </c>
      <c r="S2" s="13">
        <f>BIO!$B$2</f>
        <v>43757</v>
      </c>
    </row>
    <row r="3" spans="15:19" ht="15.75" x14ac:dyDescent="0.25">
      <c r="O3" s="11" t="s">
        <v>92</v>
      </c>
      <c r="P3" s="11" t="s">
        <v>13</v>
      </c>
      <c r="Q3" s="12">
        <f t="shared" ref="Q3:Q18" si="0">SUM(S3-S2)</f>
        <v>90</v>
      </c>
      <c r="R3" s="12">
        <v>1</v>
      </c>
      <c r="S3" s="13">
        <f t="shared" ref="S3:S15" si="1">SUM(S2+90)</f>
        <v>43847</v>
      </c>
    </row>
    <row r="4" spans="15:19" ht="15.75" x14ac:dyDescent="0.25">
      <c r="O4" s="11" t="s">
        <v>93</v>
      </c>
      <c r="P4" s="11" t="s">
        <v>16</v>
      </c>
      <c r="Q4" s="12">
        <f t="shared" si="0"/>
        <v>90</v>
      </c>
      <c r="R4" s="12">
        <v>2</v>
      </c>
      <c r="S4" s="13">
        <f t="shared" si="1"/>
        <v>43937</v>
      </c>
    </row>
    <row r="5" spans="15:19" ht="15.75" x14ac:dyDescent="0.25">
      <c r="O5" s="11" t="s">
        <v>93</v>
      </c>
      <c r="P5" s="11" t="s">
        <v>15</v>
      </c>
      <c r="Q5" s="12">
        <f t="shared" si="0"/>
        <v>90</v>
      </c>
      <c r="R5" s="12">
        <v>3</v>
      </c>
      <c r="S5" s="13">
        <f t="shared" si="1"/>
        <v>44027</v>
      </c>
    </row>
    <row r="6" spans="15:19" ht="15.75" x14ac:dyDescent="0.25">
      <c r="O6" s="11" t="s">
        <v>94</v>
      </c>
      <c r="P6" s="11" t="s">
        <v>18</v>
      </c>
      <c r="Q6" s="12">
        <f t="shared" si="0"/>
        <v>90</v>
      </c>
      <c r="R6" s="12">
        <v>4</v>
      </c>
      <c r="S6" s="13">
        <f t="shared" si="1"/>
        <v>44117</v>
      </c>
    </row>
    <row r="7" spans="15:19" ht="15.75" x14ac:dyDescent="0.25">
      <c r="O7" s="11" t="s">
        <v>94</v>
      </c>
      <c r="P7" s="11" t="s">
        <v>19</v>
      </c>
      <c r="Q7" s="12">
        <f t="shared" si="0"/>
        <v>90</v>
      </c>
      <c r="R7" s="12">
        <v>5</v>
      </c>
      <c r="S7" s="13">
        <f t="shared" si="1"/>
        <v>44207</v>
      </c>
    </row>
    <row r="8" spans="15:19" ht="15.75" x14ac:dyDescent="0.25">
      <c r="O8" s="11" t="s">
        <v>95</v>
      </c>
      <c r="P8" s="11" t="s">
        <v>24</v>
      </c>
      <c r="Q8" s="12">
        <f t="shared" si="0"/>
        <v>90</v>
      </c>
      <c r="R8" s="12">
        <v>6</v>
      </c>
      <c r="S8" s="13">
        <f t="shared" si="1"/>
        <v>44297</v>
      </c>
    </row>
    <row r="9" spans="15:19" ht="15.75" x14ac:dyDescent="0.25">
      <c r="O9" s="11" t="s">
        <v>95</v>
      </c>
      <c r="P9" s="11" t="s">
        <v>25</v>
      </c>
      <c r="Q9" s="12">
        <f t="shared" si="0"/>
        <v>90</v>
      </c>
      <c r="R9" s="12">
        <v>7</v>
      </c>
      <c r="S9" s="13">
        <f t="shared" si="1"/>
        <v>44387</v>
      </c>
    </row>
    <row r="10" spans="15:19" ht="15.75" x14ac:dyDescent="0.25">
      <c r="O10" s="11" t="s">
        <v>96</v>
      </c>
      <c r="P10" s="11" t="s">
        <v>72</v>
      </c>
      <c r="Q10" s="12">
        <f t="shared" si="0"/>
        <v>90</v>
      </c>
      <c r="R10" s="12">
        <v>8</v>
      </c>
      <c r="S10" s="13">
        <f t="shared" si="1"/>
        <v>44477</v>
      </c>
    </row>
    <row r="11" spans="15:19" ht="15.75" x14ac:dyDescent="0.25">
      <c r="O11" s="11" t="s">
        <v>96</v>
      </c>
      <c r="P11" s="11" t="s">
        <v>83</v>
      </c>
      <c r="Q11" s="12">
        <f t="shared" si="0"/>
        <v>90</v>
      </c>
      <c r="R11" s="12">
        <v>9</v>
      </c>
      <c r="S11" s="13">
        <f t="shared" si="1"/>
        <v>44567</v>
      </c>
    </row>
    <row r="12" spans="15:19" ht="15.75" x14ac:dyDescent="0.25">
      <c r="O12" s="11" t="s">
        <v>97</v>
      </c>
      <c r="P12" s="11" t="s">
        <v>82</v>
      </c>
      <c r="Q12" s="12">
        <f t="shared" si="0"/>
        <v>90</v>
      </c>
      <c r="R12" s="12">
        <v>10</v>
      </c>
      <c r="S12" s="13">
        <f t="shared" si="1"/>
        <v>44657</v>
      </c>
    </row>
    <row r="13" spans="15:19" ht="15.75" x14ac:dyDescent="0.25">
      <c r="O13" s="11" t="s">
        <v>97</v>
      </c>
      <c r="P13" s="11" t="s">
        <v>81</v>
      </c>
      <c r="Q13" s="12">
        <f t="shared" si="0"/>
        <v>90</v>
      </c>
      <c r="R13" s="12">
        <v>11</v>
      </c>
      <c r="S13" s="13">
        <f t="shared" si="1"/>
        <v>44747</v>
      </c>
    </row>
    <row r="14" spans="15:19" ht="15.75" x14ac:dyDescent="0.25">
      <c r="O14" s="11" t="s">
        <v>97</v>
      </c>
      <c r="P14" s="11" t="s">
        <v>84</v>
      </c>
      <c r="Q14" s="12">
        <f t="shared" si="0"/>
        <v>90</v>
      </c>
      <c r="R14" s="12">
        <v>12</v>
      </c>
      <c r="S14" s="13">
        <f t="shared" si="1"/>
        <v>44837</v>
      </c>
    </row>
    <row r="15" spans="15:19" ht="15.75" x14ac:dyDescent="0.25">
      <c r="O15" s="11" t="s">
        <v>97</v>
      </c>
      <c r="P15" s="11" t="s">
        <v>85</v>
      </c>
      <c r="Q15" s="12">
        <f t="shared" si="0"/>
        <v>90</v>
      </c>
      <c r="R15" s="12">
        <v>13</v>
      </c>
      <c r="S15" s="13">
        <f t="shared" si="1"/>
        <v>44927</v>
      </c>
    </row>
    <row r="16" spans="15:19" ht="15.75" x14ac:dyDescent="0.25">
      <c r="O16" s="11" t="s">
        <v>97</v>
      </c>
      <c r="P16" s="11" t="s">
        <v>623</v>
      </c>
      <c r="Q16" s="12">
        <f t="shared" si="0"/>
        <v>90</v>
      </c>
      <c r="R16" s="12">
        <v>14</v>
      </c>
      <c r="S16" s="13">
        <f t="shared" ref="S16:S18" si="2">SUM(S15+90)</f>
        <v>45017</v>
      </c>
    </row>
    <row r="17" spans="15:19" ht="15.75" x14ac:dyDescent="0.25">
      <c r="O17" s="11" t="s">
        <v>97</v>
      </c>
      <c r="P17" s="11" t="s">
        <v>624</v>
      </c>
      <c r="Q17" s="12">
        <f t="shared" si="0"/>
        <v>90</v>
      </c>
      <c r="R17" s="12">
        <v>15</v>
      </c>
      <c r="S17" s="13">
        <f t="shared" si="2"/>
        <v>45107</v>
      </c>
    </row>
    <row r="18" spans="15:19" ht="15.75" x14ac:dyDescent="0.25">
      <c r="O18" s="11" t="s">
        <v>633</v>
      </c>
      <c r="P18" s="11" t="s">
        <v>633</v>
      </c>
      <c r="Q18" s="12">
        <f t="shared" si="0"/>
        <v>90</v>
      </c>
      <c r="R18" s="12">
        <v>15</v>
      </c>
      <c r="S18" s="13">
        <f t="shared" si="2"/>
        <v>45197</v>
      </c>
    </row>
  </sheetData>
  <conditionalFormatting sqref="O2:P18">
    <cfRule type="cellIs" dxfId="0" priority="1" operator="equal">
      <formula>$C$5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DBDE-D74D-4D70-8F38-B37AB4993B7C}">
  <dimension ref="A1:AB162"/>
  <sheetViews>
    <sheetView zoomScaleNormal="100" workbookViewId="0">
      <selection activeCell="B3" sqref="B3"/>
    </sheetView>
  </sheetViews>
  <sheetFormatPr defaultColWidth="8.85546875" defaultRowHeight="15" x14ac:dyDescent="0.2"/>
  <cols>
    <col min="1" max="1" width="43" style="7" bestFit="1" customWidth="1"/>
    <col min="2" max="2" width="25.42578125" style="7" customWidth="1"/>
    <col min="3" max="3" width="19.85546875" style="8" bestFit="1" customWidth="1"/>
    <col min="4" max="4" width="17.5703125" style="28" bestFit="1" customWidth="1"/>
    <col min="5" max="5" width="11.85546875" style="8" customWidth="1"/>
    <col min="6" max="6" width="30.42578125" style="8" bestFit="1" customWidth="1"/>
    <col min="7" max="7" width="167" style="44" bestFit="1" customWidth="1"/>
    <col min="8" max="9" width="8.85546875" style="25"/>
    <col min="10" max="10" width="11.5703125" style="25" bestFit="1" customWidth="1"/>
    <col min="11" max="28" width="8.85546875" style="25"/>
    <col min="29" max="16384" width="8.85546875" style="7"/>
  </cols>
  <sheetData>
    <row r="1" spans="1:7" x14ac:dyDescent="0.2">
      <c r="A1" s="19" t="s">
        <v>68</v>
      </c>
      <c r="B1" s="20">
        <f>BIO!$B$2</f>
        <v>43757</v>
      </c>
      <c r="C1" s="19" t="s">
        <v>87</v>
      </c>
      <c r="D1" s="21">
        <f ca="1">TODAY()</f>
        <v>45945</v>
      </c>
      <c r="E1" s="23"/>
      <c r="F1" s="23"/>
      <c r="G1" s="45"/>
    </row>
    <row r="2" spans="1:7" x14ac:dyDescent="0.2">
      <c r="A2" s="19" t="s">
        <v>78</v>
      </c>
      <c r="B2" s="20" t="s">
        <v>79</v>
      </c>
      <c r="C2" s="19" t="s">
        <v>5</v>
      </c>
      <c r="D2" s="21">
        <f>VLOOKUP(B3,Target,4,0)</f>
        <v>43757</v>
      </c>
      <c r="E2" s="23"/>
      <c r="F2" s="23"/>
      <c r="G2" s="45"/>
    </row>
    <row r="3" spans="1:7" ht="15.75" x14ac:dyDescent="0.25">
      <c r="A3" s="30" t="s">
        <v>70</v>
      </c>
      <c r="B3" s="117" t="s">
        <v>3</v>
      </c>
      <c r="C3" s="19" t="s">
        <v>12</v>
      </c>
      <c r="D3" s="22">
        <f ca="1">SUM(D2-(TODAY()))</f>
        <v>-2188</v>
      </c>
      <c r="E3" s="23"/>
      <c r="F3" s="23"/>
      <c r="G3" s="45"/>
    </row>
    <row r="4" spans="1:7" s="25" customFormat="1" ht="15.75" x14ac:dyDescent="0.25">
      <c r="A4" s="98"/>
      <c r="B4" s="97"/>
      <c r="C4" s="138"/>
      <c r="D4" s="139"/>
      <c r="E4" s="23"/>
      <c r="F4" s="23"/>
      <c r="G4" s="45"/>
    </row>
    <row r="5" spans="1:7" s="25" customFormat="1" ht="15.75" x14ac:dyDescent="0.25">
      <c r="A5" s="136" t="s">
        <v>479</v>
      </c>
      <c r="B5" s="31" t="s">
        <v>595</v>
      </c>
      <c r="C5" s="91"/>
      <c r="D5" s="91"/>
      <c r="E5" s="91"/>
      <c r="F5" s="91"/>
      <c r="G5" s="91"/>
    </row>
    <row r="6" spans="1:7" s="25" customFormat="1" ht="15.75" x14ac:dyDescent="0.25">
      <c r="A6" s="34" t="s">
        <v>4</v>
      </c>
      <c r="B6" s="31"/>
      <c r="C6" s="91"/>
      <c r="D6" s="91"/>
      <c r="E6" s="91"/>
      <c r="F6" s="91"/>
      <c r="G6" s="91"/>
    </row>
    <row r="7" spans="1:7" s="25" customFormat="1" ht="15.75" x14ac:dyDescent="0.25">
      <c r="A7" s="34" t="s">
        <v>2</v>
      </c>
      <c r="B7" s="31"/>
      <c r="C7" s="91"/>
      <c r="D7" s="91"/>
      <c r="E7" s="91"/>
      <c r="F7" s="91"/>
      <c r="G7" s="91"/>
    </row>
    <row r="8" spans="1:7" s="25" customFormat="1" ht="15.75" x14ac:dyDescent="0.25">
      <c r="A8" s="34" t="s">
        <v>9</v>
      </c>
      <c r="B8" s="31"/>
      <c r="C8" s="91"/>
      <c r="D8" s="91"/>
      <c r="E8" s="91"/>
      <c r="F8" s="91"/>
      <c r="G8" s="91"/>
    </row>
    <row r="9" spans="1:7" s="25" customFormat="1" ht="15.75" x14ac:dyDescent="0.25">
      <c r="A9" s="137"/>
      <c r="B9" s="97"/>
      <c r="C9" s="140"/>
      <c r="D9" s="140"/>
      <c r="E9" s="140"/>
      <c r="F9" s="140"/>
      <c r="G9" s="140"/>
    </row>
    <row r="10" spans="1:7" ht="18" x14ac:dyDescent="0.25">
      <c r="A10" s="256" t="s">
        <v>348</v>
      </c>
      <c r="B10" s="256"/>
      <c r="C10" s="256"/>
      <c r="D10" s="256"/>
      <c r="E10" s="256"/>
      <c r="F10" s="256"/>
      <c r="G10" s="256"/>
    </row>
    <row r="11" spans="1:7" s="25" customFormat="1" ht="15.75" x14ac:dyDescent="0.25">
      <c r="A11" s="34" t="s">
        <v>333</v>
      </c>
      <c r="B11" s="26" t="s">
        <v>112</v>
      </c>
      <c r="C11" s="26" t="s">
        <v>11</v>
      </c>
      <c r="D11" s="26" t="s">
        <v>200</v>
      </c>
      <c r="E11" s="26" t="s">
        <v>6</v>
      </c>
      <c r="F11" s="258" t="s">
        <v>464</v>
      </c>
      <c r="G11" s="258"/>
    </row>
    <row r="12" spans="1:7" s="92" customFormat="1" x14ac:dyDescent="0.2">
      <c r="A12" s="94" t="s">
        <v>357</v>
      </c>
      <c r="B12" s="21">
        <f ca="1">TODAY()</f>
        <v>45945</v>
      </c>
      <c r="C12" s="12">
        <v>14</v>
      </c>
      <c r="D12" s="21">
        <f ca="1">SUM(B12+C12)</f>
        <v>45959</v>
      </c>
      <c r="E12" s="12" t="s">
        <v>56</v>
      </c>
      <c r="F12" s="259" t="s">
        <v>480</v>
      </c>
      <c r="G12" s="259"/>
    </row>
    <row r="13" spans="1:7" s="92" customFormat="1" x14ac:dyDescent="0.2">
      <c r="A13" s="94" t="s">
        <v>334</v>
      </c>
      <c r="B13" s="21">
        <f ca="1">TODAY()</f>
        <v>45945</v>
      </c>
      <c r="C13" s="12">
        <v>14</v>
      </c>
      <c r="D13" s="21">
        <f ca="1">SUM(B13+C13)</f>
        <v>45959</v>
      </c>
      <c r="E13" s="12" t="s">
        <v>56</v>
      </c>
      <c r="F13" s="259" t="s">
        <v>513</v>
      </c>
      <c r="G13" s="259"/>
    </row>
    <row r="14" spans="1:7" s="92" customFormat="1" x14ac:dyDescent="0.2">
      <c r="A14" s="94" t="s">
        <v>346</v>
      </c>
      <c r="B14" s="21">
        <f ca="1">TODAY()</f>
        <v>45945</v>
      </c>
      <c r="C14" s="12">
        <v>14</v>
      </c>
      <c r="D14" s="21">
        <f ca="1">SUM(B14+C14)</f>
        <v>45959</v>
      </c>
      <c r="E14" s="12" t="s">
        <v>56</v>
      </c>
      <c r="F14" s="259" t="s">
        <v>501</v>
      </c>
      <c r="G14" s="259"/>
    </row>
    <row r="15" spans="1:7" s="25" customFormat="1" ht="15.75" x14ac:dyDescent="0.25">
      <c r="A15" s="34" t="s">
        <v>499</v>
      </c>
      <c r="B15" s="26" t="s">
        <v>112</v>
      </c>
      <c r="C15" s="26" t="s">
        <v>11</v>
      </c>
      <c r="D15" s="26" t="s">
        <v>200</v>
      </c>
      <c r="E15" s="26" t="s">
        <v>6</v>
      </c>
      <c r="F15" s="257" t="s">
        <v>7</v>
      </c>
      <c r="G15" s="257"/>
    </row>
    <row r="16" spans="1:7" s="25" customFormat="1" ht="15.75" x14ac:dyDescent="0.2">
      <c r="A16" s="37" t="s">
        <v>500</v>
      </c>
      <c r="B16" s="21">
        <f ca="1">TODAY()</f>
        <v>45945</v>
      </c>
      <c r="C16" s="12">
        <v>14</v>
      </c>
      <c r="D16" s="21">
        <f ca="1">SUM(B16+C16)</f>
        <v>45959</v>
      </c>
      <c r="E16" s="12" t="s">
        <v>56</v>
      </c>
      <c r="F16" s="36" t="s">
        <v>356</v>
      </c>
      <c r="G16" s="102"/>
    </row>
    <row r="17" spans="1:28" s="25" customFormat="1" ht="15.75" x14ac:dyDescent="0.25">
      <c r="A17" s="34" t="s">
        <v>498</v>
      </c>
      <c r="B17" s="26" t="s">
        <v>112</v>
      </c>
      <c r="C17" s="26" t="s">
        <v>11</v>
      </c>
      <c r="D17" s="26" t="s">
        <v>200</v>
      </c>
      <c r="E17" s="26" t="s">
        <v>6</v>
      </c>
      <c r="F17" s="257" t="s">
        <v>7</v>
      </c>
      <c r="G17" s="257"/>
    </row>
    <row r="18" spans="1:28" s="92" customFormat="1" ht="15.75" x14ac:dyDescent="0.25">
      <c r="A18" s="94" t="s">
        <v>392</v>
      </c>
      <c r="B18" s="21">
        <f ca="1">TODAY()</f>
        <v>45945</v>
      </c>
      <c r="C18" s="12">
        <v>14</v>
      </c>
      <c r="D18" s="21">
        <f ca="1">SUM(B18+C18)</f>
        <v>45959</v>
      </c>
      <c r="E18" s="12" t="s">
        <v>56</v>
      </c>
      <c r="F18" s="100"/>
      <c r="G18" s="99"/>
    </row>
    <row r="19" spans="1:28" s="92" customFormat="1" ht="15.75" x14ac:dyDescent="0.25">
      <c r="A19" s="94" t="s">
        <v>391</v>
      </c>
      <c r="B19" s="21">
        <f ca="1">TODAY()</f>
        <v>45945</v>
      </c>
      <c r="C19" s="12">
        <v>14</v>
      </c>
      <c r="D19" s="21">
        <f ca="1">SUM(B19+C19)</f>
        <v>45959</v>
      </c>
      <c r="E19" s="12" t="s">
        <v>56</v>
      </c>
      <c r="F19" s="100"/>
      <c r="G19" s="99"/>
    </row>
    <row r="20" spans="1:28" s="25" customFormat="1" ht="15.75" x14ac:dyDescent="0.25">
      <c r="A20" s="34" t="s">
        <v>497</v>
      </c>
      <c r="B20" s="26" t="s">
        <v>112</v>
      </c>
      <c r="C20" s="26" t="s">
        <v>11</v>
      </c>
      <c r="D20" s="26" t="s">
        <v>200</v>
      </c>
      <c r="E20" s="26" t="s">
        <v>6</v>
      </c>
      <c r="F20" s="257" t="s">
        <v>7</v>
      </c>
      <c r="G20" s="257"/>
    </row>
    <row r="21" spans="1:28" s="92" customFormat="1" x14ac:dyDescent="0.2">
      <c r="A21" s="94" t="s">
        <v>488</v>
      </c>
      <c r="B21" s="21">
        <f ca="1">TODAY()</f>
        <v>45945</v>
      </c>
      <c r="C21" s="12">
        <v>14</v>
      </c>
      <c r="D21" s="21">
        <f ca="1">SUM(B21+C21)</f>
        <v>45959</v>
      </c>
      <c r="E21" s="12" t="s">
        <v>56</v>
      </c>
      <c r="F21" s="37" t="s">
        <v>502</v>
      </c>
      <c r="G21" s="37"/>
    </row>
    <row r="22" spans="1:28" s="92" customFormat="1" x14ac:dyDescent="0.2">
      <c r="A22" s="94" t="s">
        <v>515</v>
      </c>
      <c r="B22" s="21">
        <f ca="1">TODAY()</f>
        <v>45945</v>
      </c>
      <c r="C22" s="12">
        <v>14</v>
      </c>
      <c r="D22" s="21">
        <f ca="1">SUM(B22+C22)</f>
        <v>45959</v>
      </c>
      <c r="E22" s="12" t="s">
        <v>55</v>
      </c>
      <c r="F22" s="37"/>
      <c r="G22" s="37"/>
    </row>
    <row r="23" spans="1:28" s="104" customFormat="1" x14ac:dyDescent="0.25">
      <c r="A23" s="124"/>
      <c r="B23" s="124"/>
      <c r="C23" s="124"/>
      <c r="D23" s="124"/>
      <c r="E23" s="124"/>
      <c r="F23" s="124"/>
      <c r="G23" s="124"/>
    </row>
    <row r="24" spans="1:28" ht="18" x14ac:dyDescent="0.25">
      <c r="A24" s="256" t="s">
        <v>0</v>
      </c>
      <c r="B24" s="256"/>
      <c r="C24" s="256"/>
      <c r="D24" s="256"/>
      <c r="E24" s="256"/>
      <c r="F24" s="256"/>
      <c r="G24" s="256"/>
      <c r="W24" s="7"/>
      <c r="X24" s="7"/>
      <c r="Y24" s="7"/>
      <c r="Z24" s="7"/>
      <c r="AA24" s="7"/>
      <c r="AB24" s="7"/>
    </row>
    <row r="25" spans="1:28" s="25" customFormat="1" ht="15.75" x14ac:dyDescent="0.25">
      <c r="A25" s="34" t="s">
        <v>596</v>
      </c>
      <c r="B25" s="26" t="s">
        <v>112</v>
      </c>
      <c r="C25" s="26" t="s">
        <v>11</v>
      </c>
      <c r="D25" s="26" t="s">
        <v>200</v>
      </c>
      <c r="E25" s="26" t="s">
        <v>6</v>
      </c>
      <c r="F25" s="26" t="s">
        <v>470</v>
      </c>
      <c r="G25" s="46" t="s">
        <v>465</v>
      </c>
    </row>
    <row r="26" spans="1:28" s="92" customFormat="1" ht="15.75" x14ac:dyDescent="0.25">
      <c r="A26" s="94" t="s">
        <v>338</v>
      </c>
      <c r="B26" s="21">
        <f t="shared" ref="B26:B31" ca="1" si="0">TODAY()</f>
        <v>45945</v>
      </c>
      <c r="C26" s="12">
        <v>14</v>
      </c>
      <c r="D26" s="21">
        <f t="shared" ref="D26:D31" ca="1" si="1">SUM(B26+C26)</f>
        <v>45959</v>
      </c>
      <c r="E26" s="12" t="s">
        <v>56</v>
      </c>
      <c r="F26" s="94" t="s">
        <v>336</v>
      </c>
      <c r="G26" s="31"/>
    </row>
    <row r="27" spans="1:28" s="92" customFormat="1" ht="15.75" x14ac:dyDescent="0.25">
      <c r="A27" s="94" t="s">
        <v>337</v>
      </c>
      <c r="B27" s="21">
        <f t="shared" ca="1" si="0"/>
        <v>45945</v>
      </c>
      <c r="C27" s="12">
        <v>14</v>
      </c>
      <c r="D27" s="21">
        <f t="shared" ca="1" si="1"/>
        <v>45959</v>
      </c>
      <c r="E27" s="12" t="s">
        <v>56</v>
      </c>
      <c r="F27" s="94" t="s">
        <v>339</v>
      </c>
      <c r="G27" s="31"/>
    </row>
    <row r="28" spans="1:28" s="92" customFormat="1" ht="15.75" x14ac:dyDescent="0.25">
      <c r="A28" s="94" t="s">
        <v>340</v>
      </c>
      <c r="B28" s="21">
        <f t="shared" ca="1" si="0"/>
        <v>45945</v>
      </c>
      <c r="C28" s="12">
        <v>14</v>
      </c>
      <c r="D28" s="21">
        <f t="shared" ca="1" si="1"/>
        <v>45959</v>
      </c>
      <c r="E28" s="12" t="s">
        <v>56</v>
      </c>
      <c r="F28" s="94" t="s">
        <v>341</v>
      </c>
      <c r="G28" s="31"/>
    </row>
    <row r="29" spans="1:28" s="92" customFormat="1" ht="15.75" x14ac:dyDescent="0.25">
      <c r="A29" s="94" t="s">
        <v>342</v>
      </c>
      <c r="B29" s="21">
        <f t="shared" ca="1" si="0"/>
        <v>45945</v>
      </c>
      <c r="C29" s="12">
        <v>14</v>
      </c>
      <c r="D29" s="21">
        <f t="shared" ca="1" si="1"/>
        <v>45959</v>
      </c>
      <c r="E29" s="12" t="s">
        <v>56</v>
      </c>
      <c r="F29" s="94" t="s">
        <v>343</v>
      </c>
      <c r="G29" s="31"/>
    </row>
    <row r="30" spans="1:28" s="92" customFormat="1" ht="15.75" x14ac:dyDescent="0.25">
      <c r="A30" s="94" t="s">
        <v>344</v>
      </c>
      <c r="B30" s="21">
        <f t="shared" ca="1" si="0"/>
        <v>45945</v>
      </c>
      <c r="C30" s="12">
        <v>14</v>
      </c>
      <c r="D30" s="21">
        <f t="shared" ca="1" si="1"/>
        <v>45959</v>
      </c>
      <c r="E30" s="12" t="s">
        <v>56</v>
      </c>
      <c r="F30" s="94" t="s">
        <v>345</v>
      </c>
      <c r="G30" s="31"/>
    </row>
    <row r="31" spans="1:28" s="92" customFormat="1" ht="15.75" x14ac:dyDescent="0.25">
      <c r="A31" s="94" t="s">
        <v>553</v>
      </c>
      <c r="B31" s="21">
        <f t="shared" ca="1" si="0"/>
        <v>45945</v>
      </c>
      <c r="C31" s="12">
        <v>14</v>
      </c>
      <c r="D31" s="21">
        <f t="shared" ca="1" si="1"/>
        <v>45959</v>
      </c>
      <c r="E31" s="12" t="s">
        <v>56</v>
      </c>
      <c r="F31" s="94" t="s">
        <v>345</v>
      </c>
      <c r="G31" s="31"/>
    </row>
    <row r="32" spans="1:28" customFormat="1" x14ac:dyDescent="0.25"/>
    <row r="33" spans="1:7" ht="15.75" x14ac:dyDescent="0.25">
      <c r="A33" s="34" t="s">
        <v>597</v>
      </c>
      <c r="B33" s="26" t="s">
        <v>112</v>
      </c>
      <c r="C33" s="26" t="s">
        <v>11</v>
      </c>
      <c r="D33" s="26" t="s">
        <v>200</v>
      </c>
      <c r="E33" s="26" t="s">
        <v>6</v>
      </c>
      <c r="F33" s="26" t="s">
        <v>470</v>
      </c>
      <c r="G33" s="46" t="s">
        <v>585</v>
      </c>
    </row>
    <row r="34" spans="1:7" x14ac:dyDescent="0.2">
      <c r="A34" s="12">
        <v>1</v>
      </c>
      <c r="B34" s="21">
        <f t="shared" ref="B34:B35" ca="1" si="2">TODAY()</f>
        <v>45945</v>
      </c>
      <c r="C34" s="12">
        <v>14</v>
      </c>
      <c r="D34" s="21">
        <f t="shared" ref="D34" ca="1" si="3">SUM(B34+C34)</f>
        <v>45959</v>
      </c>
      <c r="E34" s="12" t="s">
        <v>56</v>
      </c>
      <c r="F34" s="35"/>
      <c r="G34" s="47"/>
    </row>
    <row r="35" spans="1:7" x14ac:dyDescent="0.2">
      <c r="A35" s="12">
        <v>2</v>
      </c>
      <c r="B35" s="21">
        <f t="shared" ca="1" si="2"/>
        <v>45945</v>
      </c>
      <c r="C35" s="12">
        <v>14</v>
      </c>
      <c r="D35" s="21">
        <f t="shared" ref="D35" ca="1" si="4">SUM(B35+C35)</f>
        <v>45959</v>
      </c>
      <c r="E35" s="12" t="s">
        <v>56</v>
      </c>
      <c r="F35" s="35"/>
      <c r="G35" s="47"/>
    </row>
    <row r="36" spans="1:7" s="92" customFormat="1" ht="15.75" x14ac:dyDescent="0.25">
      <c r="A36" s="96"/>
      <c r="B36" s="28"/>
      <c r="C36" s="8"/>
      <c r="D36" s="28"/>
      <c r="E36" s="8"/>
      <c r="G36" s="103"/>
    </row>
    <row r="37" spans="1:7" s="25" customFormat="1" ht="15.75" x14ac:dyDescent="0.25">
      <c r="A37" s="34" t="s">
        <v>600</v>
      </c>
      <c r="B37" s="26" t="s">
        <v>112</v>
      </c>
      <c r="C37" s="26" t="s">
        <v>11</v>
      </c>
      <c r="D37" s="26" t="s">
        <v>200</v>
      </c>
      <c r="E37" s="26" t="s">
        <v>6</v>
      </c>
      <c r="F37" s="237" t="s">
        <v>481</v>
      </c>
      <c r="G37" s="238"/>
    </row>
    <row r="38" spans="1:7" s="92" customFormat="1" x14ac:dyDescent="0.2">
      <c r="A38" s="93">
        <v>1</v>
      </c>
      <c r="B38" s="21">
        <f t="shared" ref="B38:B43" ca="1" si="5">TODAY()</f>
        <v>45945</v>
      </c>
      <c r="C38" s="12">
        <v>14</v>
      </c>
      <c r="D38" s="21">
        <f t="shared" ref="D38:D43" ca="1" si="6">SUM(B38+C38)</f>
        <v>45959</v>
      </c>
      <c r="E38" s="12" t="s">
        <v>56</v>
      </c>
      <c r="F38" s="239"/>
      <c r="G38" s="240"/>
    </row>
    <row r="39" spans="1:7" s="92" customFormat="1" x14ac:dyDescent="0.2">
      <c r="A39" s="93">
        <v>2</v>
      </c>
      <c r="B39" s="21">
        <f t="shared" ca="1" si="5"/>
        <v>45945</v>
      </c>
      <c r="C39" s="12">
        <v>14</v>
      </c>
      <c r="D39" s="21">
        <f t="shared" ca="1" si="6"/>
        <v>45959</v>
      </c>
      <c r="E39" s="12" t="s">
        <v>56</v>
      </c>
      <c r="F39" s="239"/>
      <c r="G39" s="240"/>
    </row>
    <row r="40" spans="1:7" s="92" customFormat="1" x14ac:dyDescent="0.2">
      <c r="A40" s="93">
        <v>3</v>
      </c>
      <c r="B40" s="21">
        <f t="shared" ca="1" si="5"/>
        <v>45945</v>
      </c>
      <c r="C40" s="12">
        <v>14</v>
      </c>
      <c r="D40" s="21">
        <f t="shared" ca="1" si="6"/>
        <v>45959</v>
      </c>
      <c r="E40" s="12" t="s">
        <v>56</v>
      </c>
      <c r="F40" s="239"/>
      <c r="G40" s="240"/>
    </row>
    <row r="41" spans="1:7" s="92" customFormat="1" x14ac:dyDescent="0.2">
      <c r="A41" s="93">
        <v>4</v>
      </c>
      <c r="B41" s="21">
        <f t="shared" ca="1" si="5"/>
        <v>45945</v>
      </c>
      <c r="C41" s="12">
        <v>14</v>
      </c>
      <c r="D41" s="21">
        <f t="shared" ca="1" si="6"/>
        <v>45959</v>
      </c>
      <c r="E41" s="12" t="s">
        <v>56</v>
      </c>
      <c r="F41" s="239"/>
      <c r="G41" s="240"/>
    </row>
    <row r="42" spans="1:7" s="92" customFormat="1" x14ac:dyDescent="0.2">
      <c r="A42" s="93">
        <v>5</v>
      </c>
      <c r="B42" s="21">
        <f t="shared" ca="1" si="5"/>
        <v>45945</v>
      </c>
      <c r="C42" s="12">
        <v>14</v>
      </c>
      <c r="D42" s="21">
        <f t="shared" ca="1" si="6"/>
        <v>45959</v>
      </c>
      <c r="E42" s="12" t="s">
        <v>56</v>
      </c>
      <c r="F42" s="239"/>
      <c r="G42" s="240"/>
    </row>
    <row r="43" spans="1:7" s="92" customFormat="1" x14ac:dyDescent="0.2">
      <c r="A43" s="93">
        <v>6</v>
      </c>
      <c r="B43" s="21">
        <f t="shared" ca="1" si="5"/>
        <v>45945</v>
      </c>
      <c r="C43" s="12">
        <v>14</v>
      </c>
      <c r="D43" s="21">
        <f t="shared" ca="1" si="6"/>
        <v>45959</v>
      </c>
      <c r="E43" s="12" t="s">
        <v>56</v>
      </c>
      <c r="F43" s="239"/>
      <c r="G43" s="240"/>
    </row>
    <row r="44" spans="1:7" s="104" customFormat="1" x14ac:dyDescent="0.25"/>
    <row r="45" spans="1:7" s="25" customFormat="1" ht="15.75" x14ac:dyDescent="0.25">
      <c r="A45" s="34" t="s">
        <v>599</v>
      </c>
      <c r="B45" s="26" t="s">
        <v>112</v>
      </c>
      <c r="C45" s="26" t="s">
        <v>11</v>
      </c>
      <c r="D45" s="26" t="s">
        <v>200</v>
      </c>
      <c r="E45" s="26" t="s">
        <v>6</v>
      </c>
      <c r="F45" s="237" t="s">
        <v>598</v>
      </c>
      <c r="G45" s="238"/>
    </row>
    <row r="46" spans="1:7" s="92" customFormat="1" x14ac:dyDescent="0.2">
      <c r="A46" s="94" t="s">
        <v>358</v>
      </c>
      <c r="B46" s="21">
        <f t="shared" ref="B46:B79" ca="1" si="7">TODAY()</f>
        <v>45945</v>
      </c>
      <c r="C46" s="12">
        <v>14</v>
      </c>
      <c r="D46" s="21">
        <f t="shared" ref="D46:D79" ca="1" si="8">SUM(B46+C46)</f>
        <v>45959</v>
      </c>
      <c r="E46" s="12" t="s">
        <v>56</v>
      </c>
      <c r="F46" s="239"/>
      <c r="G46" s="240"/>
    </row>
    <row r="47" spans="1:7" s="92" customFormat="1" x14ac:dyDescent="0.2">
      <c r="A47" s="94" t="s">
        <v>359</v>
      </c>
      <c r="B47" s="21">
        <f t="shared" ca="1" si="7"/>
        <v>45945</v>
      </c>
      <c r="C47" s="12">
        <v>14</v>
      </c>
      <c r="D47" s="21">
        <f t="shared" ca="1" si="8"/>
        <v>45959</v>
      </c>
      <c r="E47" s="12" t="s">
        <v>56</v>
      </c>
      <c r="F47" s="239"/>
      <c r="G47" s="240"/>
    </row>
    <row r="48" spans="1:7" s="92" customFormat="1" x14ac:dyDescent="0.2">
      <c r="A48" s="94" t="s">
        <v>360</v>
      </c>
      <c r="B48" s="21">
        <f t="shared" ca="1" si="7"/>
        <v>45945</v>
      </c>
      <c r="C48" s="12">
        <v>14</v>
      </c>
      <c r="D48" s="21">
        <f t="shared" ca="1" si="8"/>
        <v>45959</v>
      </c>
      <c r="E48" s="12" t="s">
        <v>56</v>
      </c>
      <c r="F48" s="239"/>
      <c r="G48" s="240"/>
    </row>
    <row r="49" spans="1:7" s="92" customFormat="1" x14ac:dyDescent="0.2">
      <c r="A49" s="94" t="s">
        <v>361</v>
      </c>
      <c r="B49" s="21">
        <f t="shared" ca="1" si="7"/>
        <v>45945</v>
      </c>
      <c r="C49" s="12">
        <v>14</v>
      </c>
      <c r="D49" s="21">
        <f t="shared" ca="1" si="8"/>
        <v>45959</v>
      </c>
      <c r="E49" s="12" t="s">
        <v>56</v>
      </c>
      <c r="F49" s="239"/>
      <c r="G49" s="240"/>
    </row>
    <row r="50" spans="1:7" s="92" customFormat="1" x14ac:dyDescent="0.2">
      <c r="A50" s="94" t="s">
        <v>362</v>
      </c>
      <c r="B50" s="21">
        <f t="shared" ca="1" si="7"/>
        <v>45945</v>
      </c>
      <c r="C50" s="12">
        <v>14</v>
      </c>
      <c r="D50" s="21">
        <f t="shared" ca="1" si="8"/>
        <v>45959</v>
      </c>
      <c r="E50" s="12" t="s">
        <v>56</v>
      </c>
      <c r="F50" s="239"/>
      <c r="G50" s="240"/>
    </row>
    <row r="51" spans="1:7" s="92" customFormat="1" x14ac:dyDescent="0.2">
      <c r="A51" s="94" t="s">
        <v>363</v>
      </c>
      <c r="B51" s="21">
        <f t="shared" ca="1" si="7"/>
        <v>45945</v>
      </c>
      <c r="C51" s="12">
        <v>14</v>
      </c>
      <c r="D51" s="21">
        <f t="shared" ca="1" si="8"/>
        <v>45959</v>
      </c>
      <c r="E51" s="12" t="s">
        <v>56</v>
      </c>
      <c r="F51" s="239"/>
      <c r="G51" s="240"/>
    </row>
    <row r="52" spans="1:7" s="92" customFormat="1" x14ac:dyDescent="0.2">
      <c r="A52" s="94" t="s">
        <v>364</v>
      </c>
      <c r="B52" s="21">
        <f t="shared" ca="1" si="7"/>
        <v>45945</v>
      </c>
      <c r="C52" s="12">
        <v>14</v>
      </c>
      <c r="D52" s="21">
        <f t="shared" ca="1" si="8"/>
        <v>45959</v>
      </c>
      <c r="E52" s="12" t="s">
        <v>56</v>
      </c>
      <c r="F52" s="239"/>
      <c r="G52" s="240"/>
    </row>
    <row r="53" spans="1:7" s="92" customFormat="1" x14ac:dyDescent="0.2">
      <c r="A53" s="94" t="s">
        <v>365</v>
      </c>
      <c r="B53" s="21">
        <f t="shared" ca="1" si="7"/>
        <v>45945</v>
      </c>
      <c r="C53" s="12">
        <v>14</v>
      </c>
      <c r="D53" s="21">
        <f t="shared" ca="1" si="8"/>
        <v>45959</v>
      </c>
      <c r="E53" s="12" t="s">
        <v>56</v>
      </c>
      <c r="F53" s="239"/>
      <c r="G53" s="240"/>
    </row>
    <row r="54" spans="1:7" s="92" customFormat="1" x14ac:dyDescent="0.2">
      <c r="A54" s="94" t="s">
        <v>366</v>
      </c>
      <c r="B54" s="21">
        <f t="shared" ca="1" si="7"/>
        <v>45945</v>
      </c>
      <c r="C54" s="12">
        <v>14</v>
      </c>
      <c r="D54" s="21">
        <f t="shared" ca="1" si="8"/>
        <v>45959</v>
      </c>
      <c r="E54" s="12" t="s">
        <v>56</v>
      </c>
      <c r="F54" s="239"/>
      <c r="G54" s="240"/>
    </row>
    <row r="55" spans="1:7" s="92" customFormat="1" x14ac:dyDescent="0.2">
      <c r="A55" s="94" t="s">
        <v>367</v>
      </c>
      <c r="B55" s="21">
        <f t="shared" ca="1" si="7"/>
        <v>45945</v>
      </c>
      <c r="C55" s="12">
        <v>14</v>
      </c>
      <c r="D55" s="21">
        <f t="shared" ca="1" si="8"/>
        <v>45959</v>
      </c>
      <c r="E55" s="12" t="s">
        <v>56</v>
      </c>
      <c r="F55" s="239"/>
      <c r="G55" s="240"/>
    </row>
    <row r="56" spans="1:7" s="92" customFormat="1" x14ac:dyDescent="0.2">
      <c r="A56" s="94" t="s">
        <v>368</v>
      </c>
      <c r="B56" s="21">
        <f t="shared" ca="1" si="7"/>
        <v>45945</v>
      </c>
      <c r="C56" s="12">
        <v>14</v>
      </c>
      <c r="D56" s="21">
        <f t="shared" ca="1" si="8"/>
        <v>45959</v>
      </c>
      <c r="E56" s="12" t="s">
        <v>56</v>
      </c>
      <c r="F56" s="239"/>
      <c r="G56" s="240"/>
    </row>
    <row r="57" spans="1:7" s="92" customFormat="1" x14ac:dyDescent="0.2">
      <c r="A57" s="94" t="s">
        <v>371</v>
      </c>
      <c r="B57" s="21">
        <f t="shared" ca="1" si="7"/>
        <v>45945</v>
      </c>
      <c r="C57" s="12">
        <v>14</v>
      </c>
      <c r="D57" s="21">
        <f t="shared" ca="1" si="8"/>
        <v>45959</v>
      </c>
      <c r="E57" s="12" t="s">
        <v>56</v>
      </c>
      <c r="F57" s="239"/>
      <c r="G57" s="240"/>
    </row>
    <row r="58" spans="1:7" s="92" customFormat="1" x14ac:dyDescent="0.2">
      <c r="A58" s="94" t="s">
        <v>471</v>
      </c>
      <c r="B58" s="21">
        <f t="shared" ca="1" si="7"/>
        <v>45945</v>
      </c>
      <c r="C58" s="12">
        <v>14</v>
      </c>
      <c r="D58" s="21">
        <f t="shared" ca="1" si="8"/>
        <v>45959</v>
      </c>
      <c r="E58" s="12" t="s">
        <v>56</v>
      </c>
      <c r="F58" s="239"/>
      <c r="G58" s="240"/>
    </row>
    <row r="59" spans="1:7" s="92" customFormat="1" x14ac:dyDescent="0.2">
      <c r="A59" s="94" t="s">
        <v>369</v>
      </c>
      <c r="B59" s="21">
        <f t="shared" ca="1" si="7"/>
        <v>45945</v>
      </c>
      <c r="C59" s="12">
        <v>14</v>
      </c>
      <c r="D59" s="21">
        <f t="shared" ca="1" si="8"/>
        <v>45959</v>
      </c>
      <c r="E59" s="12" t="s">
        <v>56</v>
      </c>
      <c r="F59" s="239"/>
      <c r="G59" s="240"/>
    </row>
    <row r="60" spans="1:7" s="92" customFormat="1" x14ac:dyDescent="0.2">
      <c r="A60" s="94" t="s">
        <v>370</v>
      </c>
      <c r="B60" s="21">
        <f t="shared" ca="1" si="7"/>
        <v>45945</v>
      </c>
      <c r="C60" s="12">
        <v>14</v>
      </c>
      <c r="D60" s="21">
        <f t="shared" ca="1" si="8"/>
        <v>45959</v>
      </c>
      <c r="E60" s="12" t="s">
        <v>56</v>
      </c>
      <c r="F60" s="239"/>
      <c r="G60" s="240"/>
    </row>
    <row r="61" spans="1:7" s="92" customFormat="1" x14ac:dyDescent="0.2">
      <c r="A61" s="94" t="s">
        <v>372</v>
      </c>
      <c r="B61" s="21">
        <f t="shared" ca="1" si="7"/>
        <v>45945</v>
      </c>
      <c r="C61" s="12">
        <v>14</v>
      </c>
      <c r="D61" s="21">
        <f t="shared" ca="1" si="8"/>
        <v>45959</v>
      </c>
      <c r="E61" s="12" t="s">
        <v>56</v>
      </c>
      <c r="F61" s="239"/>
      <c r="G61" s="240"/>
    </row>
    <row r="62" spans="1:7" s="92" customFormat="1" x14ac:dyDescent="0.2">
      <c r="A62" s="94" t="s">
        <v>373</v>
      </c>
      <c r="B62" s="21">
        <f t="shared" ca="1" si="7"/>
        <v>45945</v>
      </c>
      <c r="C62" s="12">
        <v>14</v>
      </c>
      <c r="D62" s="21">
        <f t="shared" ca="1" si="8"/>
        <v>45959</v>
      </c>
      <c r="E62" s="12" t="s">
        <v>56</v>
      </c>
      <c r="F62" s="239"/>
      <c r="G62" s="240"/>
    </row>
    <row r="63" spans="1:7" s="92" customFormat="1" x14ac:dyDescent="0.2">
      <c r="A63" s="94" t="s">
        <v>374</v>
      </c>
      <c r="B63" s="21">
        <f t="shared" ca="1" si="7"/>
        <v>45945</v>
      </c>
      <c r="C63" s="12">
        <v>14</v>
      </c>
      <c r="D63" s="21">
        <f t="shared" ca="1" si="8"/>
        <v>45959</v>
      </c>
      <c r="E63" s="12" t="s">
        <v>56</v>
      </c>
      <c r="F63" s="239"/>
      <c r="G63" s="240"/>
    </row>
    <row r="64" spans="1:7" s="92" customFormat="1" x14ac:dyDescent="0.2">
      <c r="A64" s="94" t="s">
        <v>375</v>
      </c>
      <c r="B64" s="21">
        <f t="shared" ca="1" si="7"/>
        <v>45945</v>
      </c>
      <c r="C64" s="12">
        <v>14</v>
      </c>
      <c r="D64" s="21">
        <f t="shared" ca="1" si="8"/>
        <v>45959</v>
      </c>
      <c r="E64" s="12" t="s">
        <v>56</v>
      </c>
      <c r="F64" s="239"/>
      <c r="G64" s="240"/>
    </row>
    <row r="65" spans="1:7" s="92" customFormat="1" x14ac:dyDescent="0.2">
      <c r="A65" s="94" t="s">
        <v>376</v>
      </c>
      <c r="B65" s="21">
        <f t="shared" ca="1" si="7"/>
        <v>45945</v>
      </c>
      <c r="C65" s="12">
        <v>14</v>
      </c>
      <c r="D65" s="21">
        <f t="shared" ca="1" si="8"/>
        <v>45959</v>
      </c>
      <c r="E65" s="12" t="s">
        <v>56</v>
      </c>
      <c r="F65" s="239"/>
      <c r="G65" s="240"/>
    </row>
    <row r="66" spans="1:7" s="92" customFormat="1" x14ac:dyDescent="0.2">
      <c r="A66" s="94" t="s">
        <v>377</v>
      </c>
      <c r="B66" s="21">
        <f t="shared" ca="1" si="7"/>
        <v>45945</v>
      </c>
      <c r="C66" s="12">
        <v>14</v>
      </c>
      <c r="D66" s="21">
        <f t="shared" ca="1" si="8"/>
        <v>45959</v>
      </c>
      <c r="E66" s="12" t="s">
        <v>56</v>
      </c>
      <c r="F66" s="239"/>
      <c r="G66" s="240"/>
    </row>
    <row r="67" spans="1:7" s="92" customFormat="1" x14ac:dyDescent="0.2">
      <c r="A67" s="94" t="s">
        <v>378</v>
      </c>
      <c r="B67" s="21">
        <f t="shared" ca="1" si="7"/>
        <v>45945</v>
      </c>
      <c r="C67" s="12">
        <v>14</v>
      </c>
      <c r="D67" s="21">
        <f t="shared" ca="1" si="8"/>
        <v>45959</v>
      </c>
      <c r="E67" s="12" t="s">
        <v>56</v>
      </c>
      <c r="F67" s="239"/>
      <c r="G67" s="240"/>
    </row>
    <row r="68" spans="1:7" s="92" customFormat="1" x14ac:dyDescent="0.2">
      <c r="A68" s="94" t="s">
        <v>379</v>
      </c>
      <c r="B68" s="21">
        <f t="shared" ca="1" si="7"/>
        <v>45945</v>
      </c>
      <c r="C68" s="12">
        <v>14</v>
      </c>
      <c r="D68" s="21">
        <f t="shared" ca="1" si="8"/>
        <v>45959</v>
      </c>
      <c r="E68" s="12" t="s">
        <v>56</v>
      </c>
      <c r="F68" s="239"/>
      <c r="G68" s="240"/>
    </row>
    <row r="69" spans="1:7" s="92" customFormat="1" x14ac:dyDescent="0.2">
      <c r="A69" s="94" t="s">
        <v>380</v>
      </c>
      <c r="B69" s="21">
        <f t="shared" ca="1" si="7"/>
        <v>45945</v>
      </c>
      <c r="C69" s="12">
        <v>14</v>
      </c>
      <c r="D69" s="21">
        <f t="shared" ca="1" si="8"/>
        <v>45959</v>
      </c>
      <c r="E69" s="12" t="s">
        <v>56</v>
      </c>
      <c r="F69" s="239"/>
      <c r="G69" s="240"/>
    </row>
    <row r="70" spans="1:7" s="92" customFormat="1" x14ac:dyDescent="0.2">
      <c r="A70" s="94" t="s">
        <v>381</v>
      </c>
      <c r="B70" s="21">
        <f t="shared" ca="1" si="7"/>
        <v>45945</v>
      </c>
      <c r="C70" s="12">
        <v>14</v>
      </c>
      <c r="D70" s="21">
        <f t="shared" ca="1" si="8"/>
        <v>45959</v>
      </c>
      <c r="E70" s="12" t="s">
        <v>56</v>
      </c>
      <c r="F70" s="239"/>
      <c r="G70" s="240"/>
    </row>
    <row r="71" spans="1:7" s="92" customFormat="1" x14ac:dyDescent="0.2">
      <c r="A71" s="94" t="s">
        <v>382</v>
      </c>
      <c r="B71" s="21">
        <f t="shared" ca="1" si="7"/>
        <v>45945</v>
      </c>
      <c r="C71" s="12">
        <v>14</v>
      </c>
      <c r="D71" s="21">
        <f t="shared" ca="1" si="8"/>
        <v>45959</v>
      </c>
      <c r="E71" s="12" t="s">
        <v>56</v>
      </c>
      <c r="F71" s="239"/>
      <c r="G71" s="240"/>
    </row>
    <row r="72" spans="1:7" s="92" customFormat="1" x14ac:dyDescent="0.2">
      <c r="A72" s="94" t="s">
        <v>383</v>
      </c>
      <c r="B72" s="21">
        <f t="shared" ca="1" si="7"/>
        <v>45945</v>
      </c>
      <c r="C72" s="12">
        <v>14</v>
      </c>
      <c r="D72" s="21">
        <f t="shared" ca="1" si="8"/>
        <v>45959</v>
      </c>
      <c r="E72" s="12" t="s">
        <v>56</v>
      </c>
      <c r="F72" s="239"/>
      <c r="G72" s="240"/>
    </row>
    <row r="73" spans="1:7" s="92" customFormat="1" x14ac:dyDescent="0.2">
      <c r="A73" s="94" t="s">
        <v>384</v>
      </c>
      <c r="B73" s="21">
        <f t="shared" ca="1" si="7"/>
        <v>45945</v>
      </c>
      <c r="C73" s="12">
        <v>14</v>
      </c>
      <c r="D73" s="21">
        <f t="shared" ca="1" si="8"/>
        <v>45959</v>
      </c>
      <c r="E73" s="12" t="s">
        <v>56</v>
      </c>
      <c r="F73" s="239"/>
      <c r="G73" s="240"/>
    </row>
    <row r="74" spans="1:7" s="92" customFormat="1" x14ac:dyDescent="0.2">
      <c r="A74" s="94" t="s">
        <v>385</v>
      </c>
      <c r="B74" s="21">
        <f t="shared" ca="1" si="7"/>
        <v>45945</v>
      </c>
      <c r="C74" s="12">
        <v>14</v>
      </c>
      <c r="D74" s="21">
        <f t="shared" ca="1" si="8"/>
        <v>45959</v>
      </c>
      <c r="E74" s="12" t="s">
        <v>56</v>
      </c>
      <c r="F74" s="239"/>
      <c r="G74" s="240"/>
    </row>
    <row r="75" spans="1:7" s="92" customFormat="1" x14ac:dyDescent="0.2">
      <c r="A75" s="94" t="s">
        <v>386</v>
      </c>
      <c r="B75" s="21">
        <f t="shared" ca="1" si="7"/>
        <v>45945</v>
      </c>
      <c r="C75" s="12">
        <v>14</v>
      </c>
      <c r="D75" s="21">
        <f t="shared" ca="1" si="8"/>
        <v>45959</v>
      </c>
      <c r="E75" s="12" t="s">
        <v>56</v>
      </c>
      <c r="F75" s="239"/>
      <c r="G75" s="240"/>
    </row>
    <row r="76" spans="1:7" s="92" customFormat="1" x14ac:dyDescent="0.2">
      <c r="A76" s="94" t="s">
        <v>387</v>
      </c>
      <c r="B76" s="21">
        <f t="shared" ca="1" si="7"/>
        <v>45945</v>
      </c>
      <c r="C76" s="12">
        <v>14</v>
      </c>
      <c r="D76" s="21">
        <f t="shared" ca="1" si="8"/>
        <v>45959</v>
      </c>
      <c r="E76" s="12" t="s">
        <v>56</v>
      </c>
      <c r="F76" s="239"/>
      <c r="G76" s="240"/>
    </row>
    <row r="77" spans="1:7" s="92" customFormat="1" x14ac:dyDescent="0.2">
      <c r="A77" s="94" t="s">
        <v>388</v>
      </c>
      <c r="B77" s="21">
        <f t="shared" ca="1" si="7"/>
        <v>45945</v>
      </c>
      <c r="C77" s="12">
        <v>14</v>
      </c>
      <c r="D77" s="21">
        <f t="shared" ca="1" si="8"/>
        <v>45959</v>
      </c>
      <c r="E77" s="12" t="s">
        <v>56</v>
      </c>
      <c r="F77" s="239"/>
      <c r="G77" s="240"/>
    </row>
    <row r="78" spans="1:7" s="92" customFormat="1" x14ac:dyDescent="0.2">
      <c r="A78" s="94" t="s">
        <v>389</v>
      </c>
      <c r="B78" s="21">
        <f t="shared" ca="1" si="7"/>
        <v>45945</v>
      </c>
      <c r="C78" s="12">
        <v>14</v>
      </c>
      <c r="D78" s="21">
        <f t="shared" ca="1" si="8"/>
        <v>45959</v>
      </c>
      <c r="E78" s="12" t="s">
        <v>56</v>
      </c>
      <c r="F78" s="239"/>
      <c r="G78" s="240"/>
    </row>
    <row r="79" spans="1:7" s="92" customFormat="1" x14ac:dyDescent="0.2">
      <c r="A79" s="94" t="s">
        <v>390</v>
      </c>
      <c r="B79" s="21">
        <f t="shared" ca="1" si="7"/>
        <v>45945</v>
      </c>
      <c r="C79" s="12">
        <v>14</v>
      </c>
      <c r="D79" s="21">
        <f t="shared" ca="1" si="8"/>
        <v>45959</v>
      </c>
      <c r="E79" s="12" t="s">
        <v>56</v>
      </c>
      <c r="F79" s="239"/>
      <c r="G79" s="240"/>
    </row>
    <row r="81" spans="1:7" s="25" customFormat="1" ht="15.75" x14ac:dyDescent="0.25">
      <c r="A81" s="34" t="s">
        <v>602</v>
      </c>
      <c r="B81" s="26" t="s">
        <v>112</v>
      </c>
      <c r="C81" s="26" t="s">
        <v>11</v>
      </c>
      <c r="D81" s="26" t="s">
        <v>200</v>
      </c>
      <c r="E81" s="26" t="s">
        <v>6</v>
      </c>
      <c r="F81" s="26" t="s">
        <v>470</v>
      </c>
      <c r="G81" s="46" t="s">
        <v>601</v>
      </c>
    </row>
    <row r="82" spans="1:7" s="25" customFormat="1" x14ac:dyDescent="0.2">
      <c r="A82" s="35" t="s">
        <v>530</v>
      </c>
      <c r="B82" s="21">
        <f ca="1">TODAY()</f>
        <v>45945</v>
      </c>
      <c r="C82" s="12">
        <v>14</v>
      </c>
      <c r="D82" s="21">
        <f ca="1">SUM(B82+C82)</f>
        <v>45959</v>
      </c>
      <c r="E82" s="12" t="s">
        <v>56</v>
      </c>
      <c r="F82" s="35" t="s">
        <v>530</v>
      </c>
      <c r="G82" s="47"/>
    </row>
    <row r="83" spans="1:7" s="25" customFormat="1" x14ac:dyDescent="0.2">
      <c r="A83" s="35" t="s">
        <v>535</v>
      </c>
      <c r="B83" s="21">
        <f ca="1">TODAY()</f>
        <v>45945</v>
      </c>
      <c r="C83" s="12">
        <v>18</v>
      </c>
      <c r="D83" s="21">
        <f ca="1">SUM(B83+C83)</f>
        <v>45963</v>
      </c>
      <c r="E83" s="12" t="s">
        <v>56</v>
      </c>
      <c r="F83" s="35" t="s">
        <v>535</v>
      </c>
      <c r="G83" s="44"/>
    </row>
    <row r="84" spans="1:7" s="25" customFormat="1" x14ac:dyDescent="0.2">
      <c r="A84" s="35" t="s">
        <v>548</v>
      </c>
      <c r="B84" s="21">
        <f ca="1">TODAY()</f>
        <v>45945</v>
      </c>
      <c r="C84" s="12">
        <v>18</v>
      </c>
      <c r="D84" s="21">
        <f ca="1">SUM(B84+C84)</f>
        <v>45963</v>
      </c>
      <c r="E84" s="12" t="s">
        <v>56</v>
      </c>
      <c r="F84" s="35" t="s">
        <v>584</v>
      </c>
      <c r="G84" s="47"/>
    </row>
    <row r="85" spans="1:7" s="25" customFormat="1" x14ac:dyDescent="0.2">
      <c r="A85" s="35" t="s">
        <v>533</v>
      </c>
      <c r="B85" s="21">
        <f t="shared" ref="B85:B92" ca="1" si="9">TODAY()</f>
        <v>45945</v>
      </c>
      <c r="C85" s="12">
        <v>14</v>
      </c>
      <c r="D85" s="21">
        <f t="shared" ref="D85:D92" ca="1" si="10">SUM(B85+C85)</f>
        <v>45959</v>
      </c>
      <c r="E85" s="12" t="s">
        <v>56</v>
      </c>
      <c r="F85" s="35" t="s">
        <v>533</v>
      </c>
      <c r="G85" s="47"/>
    </row>
    <row r="86" spans="1:7" s="25" customFormat="1" x14ac:dyDescent="0.2">
      <c r="A86" s="35" t="s">
        <v>412</v>
      </c>
      <c r="B86" s="21">
        <f t="shared" ca="1" si="9"/>
        <v>45945</v>
      </c>
      <c r="C86" s="12">
        <v>19</v>
      </c>
      <c r="D86" s="21">
        <f t="shared" ca="1" si="10"/>
        <v>45964</v>
      </c>
      <c r="E86" s="12" t="s">
        <v>56</v>
      </c>
      <c r="F86" s="35" t="s">
        <v>412</v>
      </c>
      <c r="G86" s="47"/>
    </row>
    <row r="87" spans="1:7" s="25" customFormat="1" x14ac:dyDescent="0.2">
      <c r="A87" s="35" t="s">
        <v>394</v>
      </c>
      <c r="B87" s="21">
        <f t="shared" ca="1" si="9"/>
        <v>45945</v>
      </c>
      <c r="C87" s="12">
        <v>14</v>
      </c>
      <c r="D87" s="21">
        <f t="shared" ca="1" si="10"/>
        <v>45959</v>
      </c>
      <c r="E87" s="12" t="s">
        <v>56</v>
      </c>
      <c r="F87" s="35" t="s">
        <v>394</v>
      </c>
      <c r="G87" s="47"/>
    </row>
    <row r="88" spans="1:7" s="25" customFormat="1" x14ac:dyDescent="0.2">
      <c r="A88" s="35" t="s">
        <v>395</v>
      </c>
      <c r="B88" s="21">
        <f t="shared" ca="1" si="9"/>
        <v>45945</v>
      </c>
      <c r="C88" s="12">
        <v>14</v>
      </c>
      <c r="D88" s="21">
        <f t="shared" ca="1" si="10"/>
        <v>45959</v>
      </c>
      <c r="E88" s="12" t="s">
        <v>56</v>
      </c>
      <c r="F88" s="35" t="s">
        <v>395</v>
      </c>
      <c r="G88" s="47"/>
    </row>
    <row r="89" spans="1:7" s="25" customFormat="1" x14ac:dyDescent="0.2">
      <c r="A89" s="35" t="s">
        <v>397</v>
      </c>
      <c r="B89" s="21">
        <f t="shared" ca="1" si="9"/>
        <v>45945</v>
      </c>
      <c r="C89" s="12">
        <v>14</v>
      </c>
      <c r="D89" s="21">
        <f t="shared" ca="1" si="10"/>
        <v>45959</v>
      </c>
      <c r="E89" s="12" t="s">
        <v>56</v>
      </c>
      <c r="F89" s="35" t="s">
        <v>397</v>
      </c>
      <c r="G89" s="47"/>
    </row>
    <row r="90" spans="1:7" s="25" customFormat="1" x14ac:dyDescent="0.2">
      <c r="A90" s="35" t="s">
        <v>532</v>
      </c>
      <c r="B90" s="21">
        <f t="shared" ca="1" si="9"/>
        <v>45945</v>
      </c>
      <c r="C90" s="12">
        <v>14</v>
      </c>
      <c r="D90" s="21">
        <f t="shared" ca="1" si="10"/>
        <v>45959</v>
      </c>
      <c r="E90" s="12" t="s">
        <v>56</v>
      </c>
      <c r="F90" s="35" t="s">
        <v>532</v>
      </c>
      <c r="G90" s="47"/>
    </row>
    <row r="91" spans="1:7" s="25" customFormat="1" x14ac:dyDescent="0.2">
      <c r="A91" s="35" t="s">
        <v>399</v>
      </c>
      <c r="B91" s="21">
        <f t="shared" ca="1" si="9"/>
        <v>45945</v>
      </c>
      <c r="C91" s="12">
        <v>14</v>
      </c>
      <c r="D91" s="21">
        <f t="shared" ca="1" si="10"/>
        <v>45959</v>
      </c>
      <c r="E91" s="12" t="s">
        <v>56</v>
      </c>
      <c r="F91" s="35" t="s">
        <v>399</v>
      </c>
      <c r="G91" s="47"/>
    </row>
    <row r="92" spans="1:7" s="25" customFormat="1" x14ac:dyDescent="0.2">
      <c r="A92" s="35" t="s">
        <v>398</v>
      </c>
      <c r="B92" s="21">
        <f t="shared" ca="1" si="9"/>
        <v>45945</v>
      </c>
      <c r="C92" s="12">
        <v>14</v>
      </c>
      <c r="D92" s="21">
        <f t="shared" ca="1" si="10"/>
        <v>45959</v>
      </c>
      <c r="E92" s="12" t="s">
        <v>56</v>
      </c>
      <c r="F92" s="35" t="s">
        <v>398</v>
      </c>
      <c r="G92" s="47"/>
    </row>
    <row r="93" spans="1:7" s="92" customFormat="1" ht="15.75" x14ac:dyDescent="0.25">
      <c r="A93" s="96"/>
      <c r="B93" s="24"/>
      <c r="C93" s="23"/>
      <c r="D93" s="24"/>
      <c r="E93" s="23"/>
      <c r="G93" s="103"/>
    </row>
    <row r="94" spans="1:7" s="25" customFormat="1" ht="15.75" x14ac:dyDescent="0.25">
      <c r="A94" s="34" t="s">
        <v>604</v>
      </c>
      <c r="B94" s="26" t="s">
        <v>112</v>
      </c>
      <c r="C94" s="26" t="s">
        <v>11</v>
      </c>
      <c r="D94" s="26" t="s">
        <v>200</v>
      </c>
      <c r="E94" s="26" t="s">
        <v>6</v>
      </c>
      <c r="F94" s="26" t="s">
        <v>470</v>
      </c>
      <c r="G94" s="46" t="s">
        <v>603</v>
      </c>
    </row>
    <row r="95" spans="1:7" s="25" customFormat="1" x14ac:dyDescent="0.2">
      <c r="A95" s="35" t="s">
        <v>414</v>
      </c>
      <c r="B95" s="21">
        <f ca="1">TODAY()</f>
        <v>45945</v>
      </c>
      <c r="C95" s="12">
        <v>14</v>
      </c>
      <c r="D95" s="21">
        <f ca="1">SUM(B95+C95)</f>
        <v>45959</v>
      </c>
      <c r="E95" s="12" t="s">
        <v>56</v>
      </c>
      <c r="F95" s="35" t="s">
        <v>414</v>
      </c>
      <c r="G95" s="47"/>
    </row>
    <row r="96" spans="1:7" s="25" customFormat="1" x14ac:dyDescent="0.2">
      <c r="A96" s="35" t="s">
        <v>415</v>
      </c>
      <c r="B96" s="21">
        <f ca="1">TODAY()</f>
        <v>45945</v>
      </c>
      <c r="C96" s="12">
        <v>14</v>
      </c>
      <c r="D96" s="21">
        <f ca="1">SUM(B96+C96)</f>
        <v>45959</v>
      </c>
      <c r="E96" s="12" t="s">
        <v>56</v>
      </c>
      <c r="F96" s="35" t="s">
        <v>415</v>
      </c>
      <c r="G96" s="47"/>
    </row>
    <row r="97" spans="1:7" s="25" customFormat="1" x14ac:dyDescent="0.2">
      <c r="A97" s="35" t="s">
        <v>417</v>
      </c>
      <c r="B97" s="21">
        <f ca="1">TODAY()</f>
        <v>45945</v>
      </c>
      <c r="C97" s="12">
        <v>14</v>
      </c>
      <c r="D97" s="21">
        <f ca="1">SUM(B97+C97)</f>
        <v>45959</v>
      </c>
      <c r="E97" s="12" t="s">
        <v>56</v>
      </c>
      <c r="F97" s="35" t="s">
        <v>417</v>
      </c>
      <c r="G97" s="47"/>
    </row>
    <row r="98" spans="1:7" s="25" customFormat="1" x14ac:dyDescent="0.2">
      <c r="A98" s="35" t="s">
        <v>420</v>
      </c>
      <c r="B98" s="21">
        <f ca="1">TODAY()</f>
        <v>45945</v>
      </c>
      <c r="C98" s="12">
        <v>14</v>
      </c>
      <c r="D98" s="21">
        <f ca="1">SUM(B98+C98)</f>
        <v>45959</v>
      </c>
      <c r="E98" s="12" t="s">
        <v>56</v>
      </c>
      <c r="F98" s="35" t="s">
        <v>420</v>
      </c>
      <c r="G98" s="47"/>
    </row>
    <row r="100" spans="1:7" s="25" customFormat="1" ht="15.75" x14ac:dyDescent="0.25">
      <c r="A100" s="34" t="s">
        <v>605</v>
      </c>
      <c r="B100" s="26" t="s">
        <v>112</v>
      </c>
      <c r="C100" s="26" t="s">
        <v>11</v>
      </c>
      <c r="D100" s="26" t="s">
        <v>200</v>
      </c>
      <c r="E100" s="26" t="s">
        <v>6</v>
      </c>
      <c r="F100" s="26" t="s">
        <v>470</v>
      </c>
      <c r="G100" s="46" t="s">
        <v>606</v>
      </c>
    </row>
    <row r="101" spans="1:7" s="25" customFormat="1" x14ac:dyDescent="0.2">
      <c r="A101" s="35" t="s">
        <v>428</v>
      </c>
      <c r="B101" s="21">
        <f ca="1">TODAY()</f>
        <v>45945</v>
      </c>
      <c r="C101" s="12">
        <v>14</v>
      </c>
      <c r="D101" s="21">
        <f ca="1">SUM(B101+C101)</f>
        <v>45959</v>
      </c>
      <c r="E101" s="12" t="s">
        <v>56</v>
      </c>
      <c r="F101" s="35" t="s">
        <v>447</v>
      </c>
      <c r="G101" s="47"/>
    </row>
    <row r="102" spans="1:7" s="25" customFormat="1" x14ac:dyDescent="0.2">
      <c r="A102" s="35" t="s">
        <v>429</v>
      </c>
      <c r="B102" s="21">
        <f ca="1">TODAY()</f>
        <v>45945</v>
      </c>
      <c r="C102" s="12">
        <v>14</v>
      </c>
      <c r="D102" s="21">
        <f ca="1">SUM(B102+C102)</f>
        <v>45959</v>
      </c>
      <c r="E102" s="12" t="s">
        <v>56</v>
      </c>
      <c r="F102" s="35" t="s">
        <v>448</v>
      </c>
      <c r="G102" s="47"/>
    </row>
    <row r="103" spans="1:7" s="25" customFormat="1" x14ac:dyDescent="0.2">
      <c r="A103" s="35" t="s">
        <v>439</v>
      </c>
      <c r="B103" s="21">
        <f ca="1">TODAY()</f>
        <v>45945</v>
      </c>
      <c r="C103" s="12">
        <v>14</v>
      </c>
      <c r="D103" s="21">
        <f ca="1">SUM(B103+C103)</f>
        <v>45959</v>
      </c>
      <c r="E103" s="12" t="s">
        <v>56</v>
      </c>
      <c r="F103" s="35" t="s">
        <v>449</v>
      </c>
      <c r="G103" s="47"/>
    </row>
    <row r="104" spans="1:7" s="25" customFormat="1" x14ac:dyDescent="0.2">
      <c r="A104" s="35" t="s">
        <v>430</v>
      </c>
      <c r="B104" s="21">
        <f ca="1">TODAY()</f>
        <v>45945</v>
      </c>
      <c r="C104" s="12">
        <v>14</v>
      </c>
      <c r="D104" s="21">
        <f ca="1">SUM(B104+C104)</f>
        <v>45959</v>
      </c>
      <c r="E104" s="12" t="s">
        <v>56</v>
      </c>
      <c r="F104" s="35" t="s">
        <v>450</v>
      </c>
      <c r="G104" s="47"/>
    </row>
    <row r="105" spans="1:7" s="25" customFormat="1" x14ac:dyDescent="0.2">
      <c r="A105" s="35" t="s">
        <v>431</v>
      </c>
      <c r="B105" s="21">
        <f ca="1">TODAY()</f>
        <v>45945</v>
      </c>
      <c r="C105" s="12">
        <v>14</v>
      </c>
      <c r="D105" s="21">
        <f ca="1">SUM(B105+C105)</f>
        <v>45959</v>
      </c>
      <c r="E105" s="12" t="s">
        <v>56</v>
      </c>
      <c r="F105" s="35" t="s">
        <v>451</v>
      </c>
      <c r="G105" s="47"/>
    </row>
    <row r="107" spans="1:7" s="25" customFormat="1" ht="15.75" x14ac:dyDescent="0.25">
      <c r="A107" s="34" t="s">
        <v>590</v>
      </c>
      <c r="B107" s="26" t="s">
        <v>112</v>
      </c>
      <c r="C107" s="26" t="s">
        <v>11</v>
      </c>
      <c r="D107" s="26" t="s">
        <v>200</v>
      </c>
      <c r="E107" s="26" t="s">
        <v>6</v>
      </c>
      <c r="F107" s="26" t="s">
        <v>470</v>
      </c>
      <c r="G107" s="46" t="s">
        <v>461</v>
      </c>
    </row>
    <row r="108" spans="1:7" s="25" customFormat="1" x14ac:dyDescent="0.2">
      <c r="A108" s="12">
        <v>1</v>
      </c>
      <c r="B108" s="21">
        <f ca="1">TODAY()</f>
        <v>45945</v>
      </c>
      <c r="C108" s="12">
        <v>14</v>
      </c>
      <c r="D108" s="21">
        <f ca="1">SUM(B108+C108)</f>
        <v>45959</v>
      </c>
      <c r="E108" s="12" t="s">
        <v>56</v>
      </c>
      <c r="F108" s="35" t="s">
        <v>327</v>
      </c>
      <c r="G108" s="47" t="s">
        <v>60</v>
      </c>
    </row>
    <row r="109" spans="1:7" s="25" customFormat="1" x14ac:dyDescent="0.2">
      <c r="A109" s="12">
        <v>2</v>
      </c>
      <c r="B109" s="21">
        <f ca="1">TODAY()</f>
        <v>45945</v>
      </c>
      <c r="C109" s="12">
        <v>14</v>
      </c>
      <c r="D109" s="21">
        <f ca="1">SUM(B109+C109)</f>
        <v>45959</v>
      </c>
      <c r="E109" s="12" t="s">
        <v>56</v>
      </c>
      <c r="F109" s="35" t="s">
        <v>328</v>
      </c>
      <c r="G109" s="47" t="s">
        <v>61</v>
      </c>
    </row>
    <row r="110" spans="1:7" s="25" customFormat="1" x14ac:dyDescent="0.2">
      <c r="A110" s="12">
        <v>3</v>
      </c>
      <c r="B110" s="21">
        <f ca="1">TODAY()</f>
        <v>45945</v>
      </c>
      <c r="C110" s="12">
        <v>14</v>
      </c>
      <c r="D110" s="21">
        <f ca="1">SUM(B110+C110)</f>
        <v>45959</v>
      </c>
      <c r="E110" s="12" t="s">
        <v>56</v>
      </c>
      <c r="F110" s="35" t="s">
        <v>329</v>
      </c>
      <c r="G110" s="47" t="s">
        <v>62</v>
      </c>
    </row>
    <row r="111" spans="1:7" s="25" customFormat="1" x14ac:dyDescent="0.2">
      <c r="A111" s="12">
        <v>4</v>
      </c>
      <c r="B111" s="21">
        <f ca="1">TODAY()</f>
        <v>45945</v>
      </c>
      <c r="C111" s="12">
        <v>14</v>
      </c>
      <c r="D111" s="21">
        <f ca="1">SUM(B111+C111)</f>
        <v>45959</v>
      </c>
      <c r="E111" s="12" t="s">
        <v>56</v>
      </c>
      <c r="F111" s="35" t="s">
        <v>330</v>
      </c>
      <c r="G111" s="47" t="s">
        <v>63</v>
      </c>
    </row>
    <row r="112" spans="1:7" s="25" customFormat="1" x14ac:dyDescent="0.2">
      <c r="A112" s="12">
        <v>5</v>
      </c>
      <c r="B112" s="21">
        <f ca="1">TODAY()</f>
        <v>45945</v>
      </c>
      <c r="C112" s="12">
        <v>14</v>
      </c>
      <c r="D112" s="21">
        <f ca="1">SUM(B112+C112)</f>
        <v>45959</v>
      </c>
      <c r="E112" s="12" t="s">
        <v>56</v>
      </c>
      <c r="F112" s="35" t="s">
        <v>331</v>
      </c>
      <c r="G112" s="47" t="s">
        <v>332</v>
      </c>
    </row>
    <row r="114" spans="1:7" s="25" customFormat="1" ht="15.75" x14ac:dyDescent="0.25">
      <c r="A114" s="34" t="s">
        <v>591</v>
      </c>
      <c r="B114" s="26" t="s">
        <v>112</v>
      </c>
      <c r="C114" s="26" t="s">
        <v>11</v>
      </c>
      <c r="D114" s="26" t="s">
        <v>200</v>
      </c>
      <c r="E114" s="26" t="s">
        <v>6</v>
      </c>
      <c r="F114" s="26" t="s">
        <v>470</v>
      </c>
      <c r="G114" s="46" t="s">
        <v>468</v>
      </c>
    </row>
    <row r="115" spans="1:7" s="25" customFormat="1" x14ac:dyDescent="0.2">
      <c r="A115" s="12">
        <v>1</v>
      </c>
      <c r="B115" s="21">
        <f ca="1">TODAY()</f>
        <v>45945</v>
      </c>
      <c r="C115" s="12">
        <v>14</v>
      </c>
      <c r="D115" s="21">
        <f ca="1">SUM(B115+C115)</f>
        <v>45959</v>
      </c>
      <c r="E115" s="12" t="s">
        <v>56</v>
      </c>
      <c r="F115" s="35" t="s">
        <v>307</v>
      </c>
      <c r="G115" s="47" t="s">
        <v>472</v>
      </c>
    </row>
    <row r="116" spans="1:7" s="25" customFormat="1" x14ac:dyDescent="0.2">
      <c r="A116" s="12">
        <v>2</v>
      </c>
      <c r="B116" s="21">
        <f ca="1">TODAY()</f>
        <v>45945</v>
      </c>
      <c r="C116" s="12">
        <v>14</v>
      </c>
      <c r="D116" s="21">
        <f ca="1">SUM(B116+C116)</f>
        <v>45959</v>
      </c>
      <c r="E116" s="12" t="s">
        <v>56</v>
      </c>
      <c r="F116" s="35" t="s">
        <v>549</v>
      </c>
      <c r="G116" s="47" t="s">
        <v>66</v>
      </c>
    </row>
    <row r="117" spans="1:7" s="25" customFormat="1" x14ac:dyDescent="0.2">
      <c r="A117" s="12">
        <v>3</v>
      </c>
      <c r="B117" s="21">
        <f ca="1">TODAY()</f>
        <v>45945</v>
      </c>
      <c r="C117" s="12">
        <v>14</v>
      </c>
      <c r="D117" s="21">
        <f ca="1">SUM(B117+C117)</f>
        <v>45959</v>
      </c>
      <c r="E117" s="12" t="s">
        <v>56</v>
      </c>
      <c r="F117" s="35" t="s">
        <v>262</v>
      </c>
      <c r="G117" s="47" t="s">
        <v>473</v>
      </c>
    </row>
    <row r="118" spans="1:7" s="25" customFormat="1" x14ac:dyDescent="0.2">
      <c r="A118" s="12">
        <v>4</v>
      </c>
      <c r="B118" s="21">
        <f ca="1">TODAY()</f>
        <v>45945</v>
      </c>
      <c r="C118" s="12">
        <v>14</v>
      </c>
      <c r="D118" s="21">
        <f ca="1">SUM(B118+C118)</f>
        <v>45959</v>
      </c>
      <c r="E118" s="12" t="s">
        <v>56</v>
      </c>
      <c r="F118" s="35" t="s">
        <v>306</v>
      </c>
      <c r="G118" s="47" t="s">
        <v>67</v>
      </c>
    </row>
    <row r="119" spans="1:7" s="25" customFormat="1" x14ac:dyDescent="0.2">
      <c r="A119" s="12">
        <v>5</v>
      </c>
      <c r="B119" s="21">
        <f ca="1">TODAY()</f>
        <v>45945</v>
      </c>
      <c r="C119" s="12">
        <v>14</v>
      </c>
      <c r="D119" s="21">
        <f ca="1">SUM(B119+C119)</f>
        <v>45959</v>
      </c>
      <c r="E119" s="12" t="s">
        <v>56</v>
      </c>
      <c r="F119" s="35" t="s">
        <v>323</v>
      </c>
      <c r="G119" s="47" t="s">
        <v>71</v>
      </c>
    </row>
    <row r="120" spans="1:7" s="25" customFormat="1" x14ac:dyDescent="0.2">
      <c r="D120" s="24"/>
      <c r="E120" s="23"/>
      <c r="F120" s="23"/>
      <c r="G120" s="45"/>
    </row>
    <row r="121" spans="1:7" s="25" customFormat="1" ht="18" x14ac:dyDescent="0.25">
      <c r="A121" s="256" t="s">
        <v>1</v>
      </c>
      <c r="B121" s="256"/>
      <c r="C121" s="256"/>
      <c r="D121" s="256"/>
      <c r="E121" s="256"/>
      <c r="F121" s="256"/>
      <c r="G121" s="256"/>
    </row>
    <row r="122" spans="1:7" s="25" customFormat="1" ht="15.75" x14ac:dyDescent="0.25">
      <c r="A122" s="244" t="s">
        <v>469</v>
      </c>
      <c r="B122" s="244"/>
      <c r="C122" s="244"/>
      <c r="D122" s="244"/>
      <c r="E122" s="244"/>
      <c r="F122" s="244"/>
      <c r="G122" s="244"/>
    </row>
    <row r="123" spans="1:7" s="25" customFormat="1" ht="15.75" x14ac:dyDescent="0.25">
      <c r="A123" s="34" t="s">
        <v>592</v>
      </c>
      <c r="B123" s="26" t="s">
        <v>112</v>
      </c>
      <c r="C123" s="26" t="s">
        <v>11</v>
      </c>
      <c r="D123" s="26" t="s">
        <v>200</v>
      </c>
      <c r="E123" s="26" t="s">
        <v>6</v>
      </c>
      <c r="F123" s="237" t="s">
        <v>7</v>
      </c>
      <c r="G123" s="238"/>
    </row>
    <row r="124" spans="1:7" s="25" customFormat="1" ht="15.75" x14ac:dyDescent="0.25">
      <c r="A124" s="43"/>
      <c r="B124" s="67">
        <f ca="1">TODAY()</f>
        <v>45945</v>
      </c>
      <c r="C124" s="68">
        <v>14</v>
      </c>
      <c r="D124" s="69">
        <f ca="1">SUM(B124+C124)</f>
        <v>45959</v>
      </c>
      <c r="E124" s="68" t="s">
        <v>56</v>
      </c>
      <c r="F124" s="245" t="s">
        <v>40</v>
      </c>
      <c r="G124" s="246"/>
    </row>
    <row r="125" spans="1:7" s="25" customFormat="1" x14ac:dyDescent="0.2">
      <c r="A125" s="49">
        <v>1</v>
      </c>
      <c r="B125" s="60"/>
      <c r="C125" s="61"/>
      <c r="D125" s="61"/>
      <c r="E125" s="62"/>
      <c r="F125" s="239" t="s">
        <v>51</v>
      </c>
      <c r="G125" s="240"/>
    </row>
    <row r="126" spans="1:7" s="25" customFormat="1" x14ac:dyDescent="0.2">
      <c r="A126" s="49">
        <v>2</v>
      </c>
      <c r="B126" s="70"/>
      <c r="E126" s="55"/>
      <c r="F126" s="239" t="s">
        <v>41</v>
      </c>
      <c r="G126" s="240"/>
    </row>
    <row r="127" spans="1:7" s="25" customFormat="1" x14ac:dyDescent="0.2">
      <c r="A127" s="49">
        <v>3</v>
      </c>
      <c r="B127" s="70"/>
      <c r="E127" s="55"/>
      <c r="F127" s="239" t="s">
        <v>45</v>
      </c>
      <c r="G127" s="240"/>
    </row>
    <row r="128" spans="1:7" s="25" customFormat="1" x14ac:dyDescent="0.2">
      <c r="A128" s="49">
        <v>4</v>
      </c>
      <c r="B128" s="70"/>
      <c r="E128" s="55"/>
      <c r="F128" s="239" t="s">
        <v>474</v>
      </c>
      <c r="G128" s="240"/>
    </row>
    <row r="129" spans="1:7" s="25" customFormat="1" x14ac:dyDescent="0.2">
      <c r="A129" s="49">
        <v>5</v>
      </c>
      <c r="B129" s="70"/>
      <c r="E129" s="55"/>
      <c r="F129" s="239" t="s">
        <v>46</v>
      </c>
      <c r="G129" s="240"/>
    </row>
    <row r="130" spans="1:7" s="25" customFormat="1" x14ac:dyDescent="0.2">
      <c r="A130" s="49">
        <v>6</v>
      </c>
      <c r="B130" s="70"/>
      <c r="E130" s="55"/>
      <c r="F130" s="239" t="s">
        <v>47</v>
      </c>
      <c r="G130" s="240"/>
    </row>
    <row r="131" spans="1:7" s="25" customFormat="1" x14ac:dyDescent="0.2">
      <c r="A131" s="49">
        <v>7</v>
      </c>
      <c r="B131" s="70"/>
      <c r="E131" s="55"/>
      <c r="F131" s="239" t="s">
        <v>475</v>
      </c>
      <c r="G131" s="240"/>
    </row>
    <row r="132" spans="1:7" s="25" customFormat="1" x14ac:dyDescent="0.2">
      <c r="A132" s="49">
        <v>8</v>
      </c>
      <c r="B132" s="70"/>
      <c r="E132" s="55"/>
      <c r="F132" s="239" t="s">
        <v>42</v>
      </c>
      <c r="G132" s="240"/>
    </row>
    <row r="133" spans="1:7" s="25" customFormat="1" x14ac:dyDescent="0.2">
      <c r="A133" s="49">
        <v>9</v>
      </c>
      <c r="B133" s="70"/>
      <c r="E133" s="55"/>
      <c r="F133" s="239" t="s">
        <v>52</v>
      </c>
      <c r="G133" s="240"/>
    </row>
    <row r="134" spans="1:7" s="25" customFormat="1" x14ac:dyDescent="0.2">
      <c r="A134" s="49">
        <v>10</v>
      </c>
      <c r="B134" s="70"/>
      <c r="E134" s="55"/>
      <c r="F134" s="239" t="s">
        <v>43</v>
      </c>
      <c r="G134" s="240"/>
    </row>
    <row r="135" spans="1:7" s="25" customFormat="1" x14ac:dyDescent="0.2">
      <c r="A135" s="49">
        <v>11</v>
      </c>
      <c r="B135" s="70"/>
      <c r="E135" s="55"/>
      <c r="F135" s="239" t="s">
        <v>44</v>
      </c>
      <c r="G135" s="240"/>
    </row>
    <row r="136" spans="1:7" s="25" customFormat="1" x14ac:dyDescent="0.2">
      <c r="A136" s="49">
        <v>12</v>
      </c>
      <c r="B136" s="70"/>
      <c r="E136" s="55"/>
      <c r="F136" s="239" t="s">
        <v>53</v>
      </c>
      <c r="G136" s="240"/>
    </row>
    <row r="137" spans="1:7" s="25" customFormat="1" ht="15.75" x14ac:dyDescent="0.25">
      <c r="A137" s="49">
        <v>13</v>
      </c>
      <c r="B137" s="74"/>
      <c r="C137" s="75"/>
      <c r="D137" s="76"/>
      <c r="E137" s="77"/>
      <c r="F137" s="245" t="s">
        <v>54</v>
      </c>
      <c r="G137" s="246"/>
    </row>
    <row r="138" spans="1:7" s="25" customFormat="1" ht="15.75" x14ac:dyDescent="0.25">
      <c r="A138" s="42"/>
      <c r="B138" s="50"/>
      <c r="C138" s="23"/>
      <c r="D138" s="24"/>
      <c r="E138" s="23"/>
      <c r="F138" s="83"/>
      <c r="G138" s="64"/>
    </row>
    <row r="139" spans="1:7" s="25" customFormat="1" ht="15.75" x14ac:dyDescent="0.25">
      <c r="A139" s="34" t="s">
        <v>593</v>
      </c>
      <c r="B139" s="26" t="s">
        <v>112</v>
      </c>
      <c r="C139" s="26" t="s">
        <v>11</v>
      </c>
      <c r="D139" s="26" t="s">
        <v>200</v>
      </c>
      <c r="E139" s="26" t="s">
        <v>6</v>
      </c>
      <c r="F139" s="237" t="s">
        <v>7</v>
      </c>
      <c r="G139" s="238"/>
    </row>
    <row r="140" spans="1:7" s="25" customFormat="1" x14ac:dyDescent="0.2">
      <c r="A140" s="12">
        <v>1</v>
      </c>
      <c r="B140" s="84">
        <f ca="1">TODAY()</f>
        <v>45945</v>
      </c>
      <c r="C140" s="22">
        <v>14</v>
      </c>
      <c r="D140" s="20">
        <f ca="1">SUM(B140+C140)</f>
        <v>45959</v>
      </c>
      <c r="E140" s="72" t="s">
        <v>56</v>
      </c>
      <c r="F140" s="239" t="s">
        <v>148</v>
      </c>
      <c r="G140" s="240"/>
    </row>
    <row r="141" spans="1:7" s="25" customFormat="1" x14ac:dyDescent="0.2">
      <c r="A141" s="12">
        <v>2</v>
      </c>
      <c r="B141" s="80"/>
      <c r="C141" s="80"/>
      <c r="D141" s="80"/>
      <c r="E141" s="80"/>
      <c r="F141" s="239" t="s">
        <v>476</v>
      </c>
      <c r="G141" s="240"/>
    </row>
    <row r="142" spans="1:7" s="25" customFormat="1" x14ac:dyDescent="0.2">
      <c r="A142" s="12">
        <v>3</v>
      </c>
      <c r="B142" s="80"/>
      <c r="C142" s="80"/>
      <c r="D142" s="80"/>
      <c r="E142" s="80"/>
      <c r="F142" s="239" t="s">
        <v>149</v>
      </c>
      <c r="G142" s="240"/>
    </row>
    <row r="143" spans="1:7" s="25" customFormat="1" x14ac:dyDescent="0.2">
      <c r="A143" s="12">
        <v>4</v>
      </c>
      <c r="B143" s="81"/>
      <c r="C143" s="81"/>
      <c r="D143" s="81"/>
      <c r="E143" s="81"/>
      <c r="F143" s="239" t="s">
        <v>150</v>
      </c>
      <c r="G143" s="240"/>
    </row>
    <row r="144" spans="1:7" s="25" customFormat="1" x14ac:dyDescent="0.2">
      <c r="A144" s="12">
        <v>5</v>
      </c>
      <c r="B144" s="81"/>
      <c r="C144" s="81"/>
      <c r="D144" s="81"/>
      <c r="E144" s="81"/>
      <c r="F144" s="239" t="s">
        <v>477</v>
      </c>
      <c r="G144" s="240"/>
    </row>
    <row r="145" spans="1:7" s="25" customFormat="1" ht="15.75" x14ac:dyDescent="0.25">
      <c r="A145" s="12">
        <v>6</v>
      </c>
      <c r="B145" s="75"/>
      <c r="C145" s="81"/>
      <c r="D145" s="81"/>
      <c r="E145" s="81"/>
      <c r="F145" s="245" t="s">
        <v>54</v>
      </c>
      <c r="G145" s="246"/>
    </row>
    <row r="146" spans="1:7" s="25" customFormat="1" ht="15.75" x14ac:dyDescent="0.25">
      <c r="A146" s="42"/>
      <c r="B146" s="50"/>
      <c r="C146" s="23"/>
      <c r="D146" s="24"/>
      <c r="E146" s="23"/>
      <c r="F146" s="23"/>
      <c r="G146" s="64"/>
    </row>
    <row r="147" spans="1:7" s="25" customFormat="1" ht="15.75" x14ac:dyDescent="0.25">
      <c r="A147" s="34" t="s">
        <v>594</v>
      </c>
      <c r="B147" s="66" t="s">
        <v>112</v>
      </c>
      <c r="C147" s="66" t="s">
        <v>11</v>
      </c>
      <c r="D147" s="26" t="s">
        <v>200</v>
      </c>
      <c r="E147" s="66" t="s">
        <v>6</v>
      </c>
      <c r="F147" s="237" t="s">
        <v>7</v>
      </c>
      <c r="G147" s="238"/>
    </row>
    <row r="148" spans="1:7" s="25" customFormat="1" x14ac:dyDescent="0.2">
      <c r="A148" s="12">
        <v>1</v>
      </c>
      <c r="B148" s="67">
        <f ca="1">TODAY()</f>
        <v>45945</v>
      </c>
      <c r="C148" s="22">
        <v>14</v>
      </c>
      <c r="D148" s="20">
        <f ca="1">SUM(B148+C148)</f>
        <v>45959</v>
      </c>
      <c r="E148" s="72" t="s">
        <v>56</v>
      </c>
      <c r="F148" s="239" t="s">
        <v>151</v>
      </c>
      <c r="G148" s="240"/>
    </row>
    <row r="149" spans="1:7" s="25" customFormat="1" x14ac:dyDescent="0.2">
      <c r="A149" s="12">
        <v>2</v>
      </c>
      <c r="B149" s="79"/>
      <c r="C149" s="79"/>
      <c r="D149" s="79"/>
      <c r="E149" s="79"/>
      <c r="F149" s="239" t="s">
        <v>153</v>
      </c>
      <c r="G149" s="240"/>
    </row>
    <row r="150" spans="1:7" s="25" customFormat="1" x14ac:dyDescent="0.2">
      <c r="A150" s="12">
        <v>3</v>
      </c>
      <c r="B150" s="80"/>
      <c r="C150" s="80"/>
      <c r="D150" s="80"/>
      <c r="E150" s="80"/>
      <c r="F150" s="239" t="s">
        <v>154</v>
      </c>
      <c r="G150" s="240"/>
    </row>
    <row r="151" spans="1:7" s="25" customFormat="1" x14ac:dyDescent="0.2">
      <c r="A151" s="12">
        <v>4</v>
      </c>
      <c r="B151" s="80"/>
      <c r="C151" s="80"/>
      <c r="D151" s="80"/>
      <c r="E151" s="80"/>
      <c r="F151" s="239" t="s">
        <v>152</v>
      </c>
      <c r="G151" s="240"/>
    </row>
    <row r="152" spans="1:7" s="25" customFormat="1" x14ac:dyDescent="0.2">
      <c r="A152" s="12">
        <v>5</v>
      </c>
      <c r="B152" s="80"/>
      <c r="C152" s="80"/>
      <c r="D152" s="80"/>
      <c r="E152" s="80"/>
      <c r="F152" s="239" t="s">
        <v>478</v>
      </c>
      <c r="G152" s="240"/>
    </row>
    <row r="153" spans="1:7" s="25" customFormat="1" x14ac:dyDescent="0.2">
      <c r="A153" s="12">
        <v>6</v>
      </c>
      <c r="B153" s="80"/>
      <c r="C153" s="80"/>
      <c r="D153" s="80"/>
      <c r="E153" s="80"/>
      <c r="F153" s="239" t="s">
        <v>155</v>
      </c>
      <c r="G153" s="240"/>
    </row>
    <row r="154" spans="1:7" s="25" customFormat="1" x14ac:dyDescent="0.2">
      <c r="A154" s="12">
        <v>7</v>
      </c>
      <c r="B154" s="80"/>
      <c r="C154" s="80"/>
      <c r="D154" s="80"/>
      <c r="E154" s="80"/>
      <c r="F154" s="239" t="s">
        <v>156</v>
      </c>
      <c r="G154" s="240"/>
    </row>
    <row r="155" spans="1:7" s="25" customFormat="1" ht="15.75" x14ac:dyDescent="0.25">
      <c r="A155" s="12">
        <v>8</v>
      </c>
      <c r="B155" s="75"/>
      <c r="C155" s="81"/>
      <c r="D155" s="81"/>
      <c r="E155" s="81"/>
      <c r="F155" s="245" t="s">
        <v>157</v>
      </c>
      <c r="G155" s="246"/>
    </row>
    <row r="156" spans="1:7" s="25" customFormat="1" ht="15.75" x14ac:dyDescent="0.25">
      <c r="A156" s="72"/>
      <c r="B156" s="71"/>
      <c r="C156" s="78"/>
      <c r="D156" s="78"/>
      <c r="E156" s="78"/>
      <c r="F156" s="78"/>
      <c r="G156" s="73"/>
    </row>
    <row r="157" spans="1:7" s="25" customFormat="1" x14ac:dyDescent="0.2">
      <c r="C157" s="23"/>
      <c r="D157" s="24"/>
      <c r="E157" s="23"/>
      <c r="F157" s="23"/>
      <c r="G157" s="45"/>
    </row>
    <row r="158" spans="1:7" s="25" customFormat="1" x14ac:dyDescent="0.2">
      <c r="C158" s="23"/>
      <c r="D158" s="24"/>
      <c r="E158" s="23"/>
      <c r="F158" s="23"/>
      <c r="G158" s="45"/>
    </row>
    <row r="159" spans="1:7" s="25" customFormat="1" x14ac:dyDescent="0.2">
      <c r="C159" s="23"/>
      <c r="D159" s="24"/>
      <c r="E159" s="23"/>
      <c r="F159" s="23"/>
      <c r="G159" s="45"/>
    </row>
    <row r="160" spans="1:7" s="25" customFormat="1" x14ac:dyDescent="0.2">
      <c r="C160" s="23"/>
      <c r="D160" s="24"/>
      <c r="E160" s="23"/>
      <c r="F160" s="23"/>
      <c r="G160" s="45"/>
    </row>
    <row r="161" spans="3:7" s="25" customFormat="1" x14ac:dyDescent="0.2">
      <c r="C161" s="23"/>
      <c r="D161" s="24"/>
      <c r="E161" s="23"/>
      <c r="F161" s="23"/>
      <c r="G161" s="45"/>
    </row>
    <row r="162" spans="3:7" s="25" customFormat="1" x14ac:dyDescent="0.2">
      <c r="C162" s="23"/>
      <c r="D162" s="24"/>
      <c r="E162" s="23"/>
      <c r="F162" s="23"/>
      <c r="G162" s="45"/>
    </row>
  </sheetData>
  <mergeCells count="84">
    <mergeCell ref="F11:G11"/>
    <mergeCell ref="F12:G12"/>
    <mergeCell ref="F13:G13"/>
    <mergeCell ref="F47:G47"/>
    <mergeCell ref="F14:G14"/>
    <mergeCell ref="F37:G37"/>
    <mergeCell ref="F38:G38"/>
    <mergeCell ref="F39:G39"/>
    <mergeCell ref="F40:G40"/>
    <mergeCell ref="F41:G41"/>
    <mergeCell ref="F42:G42"/>
    <mergeCell ref="F43:G43"/>
    <mergeCell ref="F45:G45"/>
    <mergeCell ref="F46:G46"/>
    <mergeCell ref="F69:G69"/>
    <mergeCell ref="F70:G70"/>
    <mergeCell ref="F59:G59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125:G125"/>
    <mergeCell ref="F72:G72"/>
    <mergeCell ref="F73:G73"/>
    <mergeCell ref="F74:G74"/>
    <mergeCell ref="F75:G75"/>
    <mergeCell ref="F76:G76"/>
    <mergeCell ref="F77:G77"/>
    <mergeCell ref="F78:G78"/>
    <mergeCell ref="F79:G79"/>
    <mergeCell ref="A122:G122"/>
    <mergeCell ref="F123:G123"/>
    <mergeCell ref="F124:G124"/>
    <mergeCell ref="F137:G137"/>
    <mergeCell ref="F126:G126"/>
    <mergeCell ref="F127:G127"/>
    <mergeCell ref="F128:G128"/>
    <mergeCell ref="F129:G129"/>
    <mergeCell ref="F130:G130"/>
    <mergeCell ref="F131:G131"/>
    <mergeCell ref="F154:G154"/>
    <mergeCell ref="F155:G155"/>
    <mergeCell ref="F145:G145"/>
    <mergeCell ref="F147:G147"/>
    <mergeCell ref="F148:G148"/>
    <mergeCell ref="F149:G149"/>
    <mergeCell ref="F150:G150"/>
    <mergeCell ref="F151:G151"/>
    <mergeCell ref="F132:G132"/>
    <mergeCell ref="F133:G133"/>
    <mergeCell ref="F134:G134"/>
    <mergeCell ref="F135:G135"/>
    <mergeCell ref="F136:G136"/>
    <mergeCell ref="F152:G152"/>
    <mergeCell ref="F153:G153"/>
    <mergeCell ref="F139:G139"/>
    <mergeCell ref="F140:G140"/>
    <mergeCell ref="F141:G141"/>
    <mergeCell ref="F142:G142"/>
    <mergeCell ref="F143:G143"/>
    <mergeCell ref="F144:G144"/>
    <mergeCell ref="A10:G10"/>
    <mergeCell ref="F15:G15"/>
    <mergeCell ref="F17:G17"/>
    <mergeCell ref="F20:G20"/>
    <mergeCell ref="A121:G121"/>
    <mergeCell ref="A24:G24"/>
    <mergeCell ref="F71:G71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</mergeCells>
  <dataValidations count="3">
    <dataValidation type="list" allowBlank="1" showInputMessage="1" showErrorMessage="1" sqref="E123:E124 E148 E108:E112 E140 E146 E138 E115:E119 E46:E80 E34:E36 E101:E105 E21:E22 E38:E43 E16 E12:E14 E18:E19 E95:E98 E26:E31 E82:E93" xr:uid="{15CEEBC4-1549-4A79-85FC-4F03BEAF327A}">
      <formula1>"Untrained, In Progress, Retrain, Trained,Proficient"</formula1>
    </dataValidation>
    <dataValidation type="list" allowBlank="1" showInputMessage="1" showErrorMessage="1" sqref="B3:B4 B9" xr:uid="{AFD57189-2C0F-45E9-A1D7-3C226A3FBAF8}">
      <formula1>"Yellow Stripe,Yellow Belt"</formula1>
    </dataValidation>
    <dataValidation type="list" allowBlank="1" showInputMessage="1" showErrorMessage="1" sqref="B6:B8" xr:uid="{EA291618-749C-4DFA-908C-D3766617E266}">
      <formula1>"Yes,No"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26F5-658B-4B4D-8F3B-52E3A7EC6619}">
  <dimension ref="A1:AB147"/>
  <sheetViews>
    <sheetView zoomScaleNormal="100" workbookViewId="0">
      <selection activeCell="F5" sqref="F5"/>
    </sheetView>
  </sheetViews>
  <sheetFormatPr defaultColWidth="8.85546875" defaultRowHeight="15" x14ac:dyDescent="0.2"/>
  <cols>
    <col min="1" max="1" width="43.5703125" style="7" bestFit="1" customWidth="1"/>
    <col min="2" max="2" width="25.42578125" style="7" customWidth="1"/>
    <col min="3" max="3" width="19.85546875" style="8" bestFit="1" customWidth="1"/>
    <col min="4" max="4" width="17.85546875" style="28" bestFit="1" customWidth="1"/>
    <col min="5" max="5" width="12.42578125" style="8" bestFit="1" customWidth="1"/>
    <col min="6" max="6" width="30.42578125" style="8" bestFit="1" customWidth="1"/>
    <col min="7" max="7" width="167" style="44" bestFit="1" customWidth="1"/>
    <col min="8" max="9" width="8.85546875" style="25"/>
    <col min="10" max="10" width="11.5703125" style="25" bestFit="1" customWidth="1"/>
    <col min="11" max="28" width="8.85546875" style="25"/>
    <col min="29" max="16384" width="8.85546875" style="7"/>
  </cols>
  <sheetData>
    <row r="1" spans="1:28" x14ac:dyDescent="0.2">
      <c r="A1" s="19" t="s">
        <v>68</v>
      </c>
      <c r="B1" s="20">
        <f>BIO!$B$2</f>
        <v>43757</v>
      </c>
      <c r="C1" s="19" t="s">
        <v>87</v>
      </c>
      <c r="D1" s="21">
        <f ca="1">TODAY()</f>
        <v>45945</v>
      </c>
      <c r="E1" s="23"/>
      <c r="F1" s="23"/>
      <c r="G1" s="45"/>
    </row>
    <row r="2" spans="1:28" ht="15.75" x14ac:dyDescent="0.25">
      <c r="A2" s="19" t="s">
        <v>78</v>
      </c>
      <c r="B2" s="117" t="s">
        <v>627</v>
      </c>
      <c r="C2" s="19" t="s">
        <v>5</v>
      </c>
      <c r="D2" s="21">
        <f>VLOOKUP(B3,Target,4,0)</f>
        <v>43847</v>
      </c>
      <c r="E2" s="23"/>
      <c r="F2" s="23"/>
      <c r="G2" s="45"/>
    </row>
    <row r="3" spans="1:28" ht="15.75" x14ac:dyDescent="0.25">
      <c r="A3" s="30" t="s">
        <v>70</v>
      </c>
      <c r="B3" s="231" t="s">
        <v>13</v>
      </c>
      <c r="C3" s="19" t="s">
        <v>12</v>
      </c>
      <c r="D3" s="22">
        <f ca="1">SUM(D2-(TODAY()))</f>
        <v>-2098</v>
      </c>
      <c r="E3" s="23"/>
      <c r="F3" s="23"/>
      <c r="G3" s="45"/>
    </row>
    <row r="4" spans="1:28" s="25" customFormat="1" ht="15.75" x14ac:dyDescent="0.25">
      <c r="A4" s="98"/>
      <c r="B4" s="97"/>
      <c r="C4" s="138"/>
      <c r="D4" s="139"/>
      <c r="E4" s="23"/>
      <c r="F4" s="23"/>
      <c r="G4" s="45"/>
    </row>
    <row r="5" spans="1:28" s="25" customFormat="1" ht="15.75" x14ac:dyDescent="0.25">
      <c r="A5" s="141" t="s">
        <v>99</v>
      </c>
      <c r="B5" s="31" t="s">
        <v>595</v>
      </c>
      <c r="E5" s="91"/>
      <c r="F5" s="91"/>
      <c r="G5" s="91"/>
    </row>
    <row r="6" spans="1:28" s="25" customFormat="1" ht="15.75" x14ac:dyDescent="0.25">
      <c r="A6" s="34" t="s">
        <v>611</v>
      </c>
      <c r="B6" s="31"/>
      <c r="C6" s="91"/>
      <c r="D6" s="91"/>
      <c r="E6" s="91"/>
      <c r="F6" s="91"/>
      <c r="G6" s="91"/>
    </row>
    <row r="7" spans="1:28" s="25" customFormat="1" ht="15.75" x14ac:dyDescent="0.25">
      <c r="A7" s="34" t="s">
        <v>612</v>
      </c>
      <c r="B7" s="31"/>
      <c r="C7" s="91"/>
      <c r="D7" s="91"/>
      <c r="E7" s="91"/>
      <c r="F7" s="91"/>
      <c r="G7" s="91"/>
    </row>
    <row r="8" spans="1:28" s="25" customFormat="1" ht="15.75" x14ac:dyDescent="0.25">
      <c r="A8" s="137"/>
      <c r="B8" s="97"/>
      <c r="C8" s="140"/>
      <c r="D8" s="140"/>
      <c r="E8" s="140"/>
      <c r="F8" s="140"/>
      <c r="G8" s="140"/>
    </row>
    <row r="9" spans="1:28" ht="18" x14ac:dyDescent="0.25">
      <c r="A9" s="260" t="s">
        <v>348</v>
      </c>
      <c r="B9" s="261"/>
      <c r="C9" s="261"/>
      <c r="D9" s="261"/>
      <c r="E9" s="261"/>
      <c r="F9" s="261"/>
      <c r="G9" s="261"/>
      <c r="AA9" s="7"/>
      <c r="AB9" s="7"/>
    </row>
    <row r="10" spans="1:28" s="25" customFormat="1" ht="15.75" x14ac:dyDescent="0.25">
      <c r="A10" s="34" t="s">
        <v>333</v>
      </c>
      <c r="B10" s="26" t="s">
        <v>112</v>
      </c>
      <c r="C10" s="26" t="s">
        <v>11</v>
      </c>
      <c r="D10" s="26" t="s">
        <v>200</v>
      </c>
      <c r="E10" s="26" t="s">
        <v>6</v>
      </c>
      <c r="F10" s="247" t="s">
        <v>7</v>
      </c>
      <c r="G10" s="248"/>
    </row>
    <row r="11" spans="1:28" s="25" customFormat="1" x14ac:dyDescent="0.2">
      <c r="A11" s="37" t="s">
        <v>354</v>
      </c>
      <c r="B11" s="21">
        <f ca="1">TODAY()</f>
        <v>45945</v>
      </c>
      <c r="C11" s="12">
        <v>14</v>
      </c>
      <c r="D11" s="21">
        <f ca="1">SUM(B11+C11)</f>
        <v>45959</v>
      </c>
      <c r="E11" s="12" t="s">
        <v>57</v>
      </c>
      <c r="F11" s="37" t="s">
        <v>355</v>
      </c>
      <c r="G11" s="37"/>
    </row>
    <row r="12" spans="1:28" s="25" customFormat="1" ht="15.75" x14ac:dyDescent="0.2">
      <c r="A12" s="37" t="s">
        <v>482</v>
      </c>
      <c r="B12" s="21">
        <f ca="1">TODAY()</f>
        <v>45945</v>
      </c>
      <c r="C12" s="12">
        <v>14</v>
      </c>
      <c r="D12" s="21">
        <f ca="1">SUM(B12+C12)</f>
        <v>45959</v>
      </c>
      <c r="E12" s="12" t="s">
        <v>56</v>
      </c>
      <c r="F12" s="36" t="s">
        <v>483</v>
      </c>
      <c r="G12" s="102"/>
    </row>
    <row r="13" spans="1:28" s="25" customFormat="1" ht="15.75" x14ac:dyDescent="0.25">
      <c r="A13" s="34" t="s">
        <v>499</v>
      </c>
      <c r="B13" s="26" t="s">
        <v>112</v>
      </c>
      <c r="C13" s="26" t="s">
        <v>11</v>
      </c>
      <c r="D13" s="26" t="s">
        <v>200</v>
      </c>
      <c r="E13" s="26" t="s">
        <v>6</v>
      </c>
      <c r="F13" s="247" t="s">
        <v>7</v>
      </c>
      <c r="G13" s="248"/>
    </row>
    <row r="14" spans="1:28" s="92" customFormat="1" ht="15.6" customHeight="1" x14ac:dyDescent="0.2">
      <c r="A14" s="94" t="s">
        <v>514</v>
      </c>
      <c r="B14" s="21">
        <f ca="1">TODAY()</f>
        <v>45945</v>
      </c>
      <c r="C14" s="12">
        <v>14</v>
      </c>
      <c r="D14" s="21">
        <f ca="1">SUM(B14+C14)</f>
        <v>45959</v>
      </c>
      <c r="E14" s="12" t="s">
        <v>57</v>
      </c>
      <c r="F14" s="262"/>
      <c r="G14" s="263"/>
    </row>
    <row r="15" spans="1:28" s="25" customFormat="1" ht="15.75" x14ac:dyDescent="0.25">
      <c r="A15" s="34" t="s">
        <v>498</v>
      </c>
      <c r="B15" s="26" t="s">
        <v>112</v>
      </c>
      <c r="C15" s="26" t="s">
        <v>11</v>
      </c>
      <c r="D15" s="26" t="s">
        <v>200</v>
      </c>
      <c r="E15" s="26" t="s">
        <v>6</v>
      </c>
      <c r="F15" s="247" t="s">
        <v>7</v>
      </c>
      <c r="G15" s="248"/>
    </row>
    <row r="16" spans="1:28" s="92" customFormat="1" ht="15.6" customHeight="1" x14ac:dyDescent="0.2">
      <c r="A16" s="94" t="s">
        <v>507</v>
      </c>
      <c r="B16" s="21">
        <f ca="1">TODAY()</f>
        <v>45945</v>
      </c>
      <c r="C16" s="12">
        <v>14</v>
      </c>
      <c r="D16" s="21">
        <f ca="1">SUM(B16+C16)</f>
        <v>45959</v>
      </c>
      <c r="E16" s="12" t="s">
        <v>56</v>
      </c>
      <c r="F16" s="262"/>
      <c r="G16" s="263"/>
    </row>
    <row r="17" spans="1:28" s="92" customFormat="1" x14ac:dyDescent="0.2">
      <c r="A17" s="94" t="s">
        <v>506</v>
      </c>
      <c r="B17" s="21">
        <f ca="1">TODAY()</f>
        <v>45945</v>
      </c>
      <c r="C17" s="12">
        <v>14</v>
      </c>
      <c r="D17" s="21">
        <f ca="1">SUM(B17+C17)</f>
        <v>45959</v>
      </c>
      <c r="E17" s="12" t="s">
        <v>56</v>
      </c>
      <c r="F17" s="264"/>
      <c r="G17" s="265"/>
    </row>
    <row r="18" spans="1:28" s="92" customFormat="1" x14ac:dyDescent="0.2">
      <c r="A18" s="94" t="s">
        <v>489</v>
      </c>
      <c r="B18" s="21">
        <f ca="1">TODAY()</f>
        <v>45945</v>
      </c>
      <c r="C18" s="12">
        <v>14</v>
      </c>
      <c r="D18" s="21">
        <f ca="1">SUM(B18+C18)</f>
        <v>45959</v>
      </c>
      <c r="E18" s="12" t="s">
        <v>56</v>
      </c>
      <c r="F18" s="264"/>
      <c r="G18" s="265"/>
    </row>
    <row r="19" spans="1:28" s="25" customFormat="1" ht="15.75" x14ac:dyDescent="0.25">
      <c r="A19" s="34" t="s">
        <v>497</v>
      </c>
      <c r="B19" s="26" t="s">
        <v>112</v>
      </c>
      <c r="C19" s="26" t="s">
        <v>11</v>
      </c>
      <c r="D19" s="26" t="s">
        <v>200</v>
      </c>
      <c r="E19" s="26" t="s">
        <v>6</v>
      </c>
      <c r="F19" s="247" t="s">
        <v>7</v>
      </c>
      <c r="G19" s="248"/>
    </row>
    <row r="20" spans="1:28" s="92" customFormat="1" x14ac:dyDescent="0.2">
      <c r="A20" s="94" t="s">
        <v>490</v>
      </c>
      <c r="B20" s="21">
        <f ca="1">TODAY()</f>
        <v>45945</v>
      </c>
      <c r="C20" s="12">
        <v>14</v>
      </c>
      <c r="D20" s="21">
        <f ca="1">SUM(B20+C20)</f>
        <v>45959</v>
      </c>
      <c r="E20" s="12" t="s">
        <v>56</v>
      </c>
      <c r="F20" s="264" t="s">
        <v>485</v>
      </c>
      <c r="G20" s="265"/>
    </row>
    <row r="21" spans="1:28" s="92" customFormat="1" x14ac:dyDescent="0.2">
      <c r="A21" s="111" t="s">
        <v>516</v>
      </c>
      <c r="B21" s="21">
        <f ca="1">TODAY()</f>
        <v>45945</v>
      </c>
      <c r="C21" s="12">
        <v>14</v>
      </c>
      <c r="D21" s="21">
        <f ca="1">SUM(B21+C21)</f>
        <v>45959</v>
      </c>
      <c r="E21" s="12" t="s">
        <v>56</v>
      </c>
      <c r="F21" s="264" t="s">
        <v>485</v>
      </c>
      <c r="G21" s="265"/>
    </row>
    <row r="22" spans="1:28" s="92" customFormat="1" ht="15.75" x14ac:dyDescent="0.25">
      <c r="A22" s="111"/>
      <c r="B22" s="28"/>
      <c r="C22" s="8"/>
      <c r="D22" s="28"/>
      <c r="E22" s="8"/>
      <c r="G22" s="103"/>
    </row>
    <row r="23" spans="1:28" ht="18" x14ac:dyDescent="0.25">
      <c r="A23" s="260" t="s">
        <v>0</v>
      </c>
      <c r="B23" s="261"/>
      <c r="C23" s="261"/>
      <c r="D23" s="261"/>
      <c r="E23" s="261"/>
      <c r="F23" s="261"/>
      <c r="G23" s="261"/>
      <c r="W23" s="7"/>
      <c r="X23" s="7"/>
      <c r="Y23" s="7"/>
      <c r="Z23" s="7"/>
      <c r="AA23" s="7"/>
      <c r="AB23" s="7"/>
    </row>
    <row r="24" spans="1:28" s="25" customFormat="1" ht="15.75" x14ac:dyDescent="0.25">
      <c r="A24" s="34" t="s">
        <v>596</v>
      </c>
      <c r="B24" s="26" t="s">
        <v>112</v>
      </c>
      <c r="C24" s="26" t="s">
        <v>11</v>
      </c>
      <c r="D24" s="26" t="s">
        <v>200</v>
      </c>
      <c r="E24" s="26" t="s">
        <v>6</v>
      </c>
      <c r="F24" s="26" t="s">
        <v>470</v>
      </c>
      <c r="G24" s="46" t="s">
        <v>550</v>
      </c>
    </row>
    <row r="25" spans="1:28" s="25" customFormat="1" x14ac:dyDescent="0.2">
      <c r="A25" s="35" t="s">
        <v>551</v>
      </c>
      <c r="B25" s="21">
        <f ca="1">TODAY()</f>
        <v>45945</v>
      </c>
      <c r="C25" s="12">
        <v>14</v>
      </c>
      <c r="D25" s="21">
        <f ca="1">SUM(B25+C25)</f>
        <v>45959</v>
      </c>
      <c r="E25" s="12" t="s">
        <v>56</v>
      </c>
      <c r="F25" s="35"/>
      <c r="G25" s="47"/>
    </row>
    <row r="26" spans="1:28" s="25" customFormat="1" x14ac:dyDescent="0.2">
      <c r="A26" s="35" t="s">
        <v>552</v>
      </c>
      <c r="B26" s="21">
        <f ca="1">TODAY()</f>
        <v>45945</v>
      </c>
      <c r="C26" s="12">
        <v>14</v>
      </c>
      <c r="D26" s="21">
        <f ca="1">SUM(B26+C26)</f>
        <v>45959</v>
      </c>
      <c r="E26" s="12" t="s">
        <v>56</v>
      </c>
      <c r="F26" s="35"/>
      <c r="G26" s="47"/>
    </row>
    <row r="27" spans="1:28" s="25" customFormat="1" x14ac:dyDescent="0.2">
      <c r="A27" s="113"/>
      <c r="B27" s="28"/>
      <c r="C27" s="8"/>
      <c r="D27" s="28"/>
      <c r="E27" s="8"/>
      <c r="F27" s="105"/>
      <c r="G27" s="44"/>
    </row>
    <row r="28" spans="1:28" ht="15.75" x14ac:dyDescent="0.25">
      <c r="A28" s="34" t="s">
        <v>597</v>
      </c>
      <c r="B28" s="26" t="s">
        <v>112</v>
      </c>
      <c r="C28" s="26" t="s">
        <v>11</v>
      </c>
      <c r="D28" s="26" t="s">
        <v>200</v>
      </c>
      <c r="E28" s="26" t="s">
        <v>6</v>
      </c>
      <c r="F28" s="26" t="s">
        <v>470</v>
      </c>
      <c r="G28" s="46" t="s">
        <v>547</v>
      </c>
    </row>
    <row r="29" spans="1:28" x14ac:dyDescent="0.2">
      <c r="A29" s="12">
        <v>3</v>
      </c>
      <c r="B29" s="21">
        <f t="shared" ref="B29:B30" ca="1" si="0">TODAY()</f>
        <v>45945</v>
      </c>
      <c r="C29" s="12">
        <v>14</v>
      </c>
      <c r="D29" s="21">
        <f t="shared" ref="D29" ca="1" si="1">SUM(B29+C29)</f>
        <v>45959</v>
      </c>
      <c r="E29" s="12" t="s">
        <v>56</v>
      </c>
      <c r="F29" s="35"/>
      <c r="G29" s="47"/>
    </row>
    <row r="30" spans="1:28" x14ac:dyDescent="0.2">
      <c r="A30" s="12">
        <v>4</v>
      </c>
      <c r="B30" s="21">
        <f t="shared" ca="1" si="0"/>
        <v>45945</v>
      </c>
      <c r="C30" s="12">
        <v>14</v>
      </c>
      <c r="D30" s="21">
        <f t="shared" ref="D30" ca="1" si="2">SUM(B30+C30)</f>
        <v>45959</v>
      </c>
      <c r="E30" s="12" t="s">
        <v>56</v>
      </c>
      <c r="F30" s="35"/>
      <c r="G30" s="47"/>
    </row>
    <row r="31" spans="1:28" s="92" customFormat="1" ht="15.75" x14ac:dyDescent="0.25">
      <c r="A31" s="96"/>
      <c r="B31" s="28"/>
      <c r="C31" s="8"/>
      <c r="D31" s="28"/>
      <c r="E31" s="8"/>
      <c r="G31" s="103"/>
    </row>
    <row r="32" spans="1:28" ht="15.75" x14ac:dyDescent="0.25">
      <c r="A32" s="34" t="s">
        <v>605</v>
      </c>
      <c r="B32" s="26" t="s">
        <v>112</v>
      </c>
      <c r="C32" s="26" t="s">
        <v>11</v>
      </c>
      <c r="D32" s="26" t="s">
        <v>200</v>
      </c>
      <c r="E32" s="26" t="s">
        <v>6</v>
      </c>
      <c r="F32" s="26" t="s">
        <v>470</v>
      </c>
      <c r="G32" s="46" t="s">
        <v>427</v>
      </c>
    </row>
    <row r="33" spans="1:7" x14ac:dyDescent="0.2">
      <c r="A33" s="35" t="s">
        <v>435</v>
      </c>
      <c r="B33" s="21">
        <f ca="1">TODAY()</f>
        <v>45945</v>
      </c>
      <c r="C33" s="12">
        <v>14</v>
      </c>
      <c r="D33" s="21">
        <f ca="1">SUM(B33+C33)</f>
        <v>45959</v>
      </c>
      <c r="E33" s="12" t="s">
        <v>56</v>
      </c>
      <c r="F33" s="35" t="s">
        <v>436</v>
      </c>
      <c r="G33" s="47"/>
    </row>
    <row r="34" spans="1:7" x14ac:dyDescent="0.2">
      <c r="A34" s="35" t="s">
        <v>432</v>
      </c>
      <c r="B34" s="21">
        <f ca="1">TODAY()</f>
        <v>45945</v>
      </c>
      <c r="C34" s="12">
        <v>14</v>
      </c>
      <c r="D34" s="21">
        <f ca="1">SUM(B34+C34)</f>
        <v>45959</v>
      </c>
      <c r="E34" s="12" t="s">
        <v>56</v>
      </c>
      <c r="F34" s="35" t="s">
        <v>437</v>
      </c>
      <c r="G34" s="47"/>
    </row>
    <row r="35" spans="1:7" s="92" customFormat="1" ht="15.75" x14ac:dyDescent="0.25">
      <c r="A35" s="96"/>
      <c r="B35" s="24"/>
      <c r="C35" s="23"/>
      <c r="D35" s="24"/>
      <c r="E35" s="23"/>
      <c r="G35" s="103"/>
    </row>
    <row r="36" spans="1:7" s="25" customFormat="1" ht="15.75" x14ac:dyDescent="0.25">
      <c r="A36" s="34" t="s">
        <v>602</v>
      </c>
      <c r="B36" s="26" t="s">
        <v>112</v>
      </c>
      <c r="C36" s="26" t="s">
        <v>11</v>
      </c>
      <c r="D36" s="26" t="s">
        <v>200</v>
      </c>
      <c r="E36" s="26" t="s">
        <v>6</v>
      </c>
      <c r="F36" s="26" t="s">
        <v>470</v>
      </c>
      <c r="G36" s="46" t="s">
        <v>601</v>
      </c>
    </row>
    <row r="37" spans="1:7" s="25" customFormat="1" x14ac:dyDescent="0.2">
      <c r="A37" s="35" t="s">
        <v>413</v>
      </c>
      <c r="B37" s="21">
        <f t="shared" ref="B37:B43" ca="1" si="3">TODAY()</f>
        <v>45945</v>
      </c>
      <c r="C37" s="12">
        <v>14</v>
      </c>
      <c r="D37" s="21">
        <f ca="1">SUM(B37+C37)</f>
        <v>45959</v>
      </c>
      <c r="E37" s="12" t="s">
        <v>56</v>
      </c>
      <c r="F37" s="35" t="s">
        <v>413</v>
      </c>
      <c r="G37" s="47"/>
    </row>
    <row r="38" spans="1:7" x14ac:dyDescent="0.2">
      <c r="A38" s="35" t="s">
        <v>537</v>
      </c>
      <c r="B38" s="21">
        <f t="shared" ca="1" si="3"/>
        <v>45945</v>
      </c>
      <c r="C38" s="12">
        <v>17</v>
      </c>
      <c r="D38" s="21">
        <f t="shared" ref="D38" ca="1" si="4">SUM(B38+C38)</f>
        <v>45962</v>
      </c>
      <c r="E38" s="12" t="s">
        <v>56</v>
      </c>
      <c r="F38" s="35" t="s">
        <v>536</v>
      </c>
    </row>
    <row r="39" spans="1:7" s="25" customFormat="1" x14ac:dyDescent="0.2">
      <c r="A39" s="35" t="s">
        <v>521</v>
      </c>
      <c r="B39" s="21">
        <f t="shared" ca="1" si="3"/>
        <v>45945</v>
      </c>
      <c r="C39" s="12">
        <v>17</v>
      </c>
      <c r="D39" s="21">
        <f ca="1">SUM(B39+C39)</f>
        <v>45962</v>
      </c>
      <c r="E39" s="12" t="s">
        <v>56</v>
      </c>
      <c r="F39" s="35" t="s">
        <v>521</v>
      </c>
      <c r="G39" s="47"/>
    </row>
    <row r="40" spans="1:7" s="25" customFormat="1" x14ac:dyDescent="0.2">
      <c r="A40" s="35" t="s">
        <v>554</v>
      </c>
      <c r="B40" s="21">
        <f t="shared" ca="1" si="3"/>
        <v>45945</v>
      </c>
      <c r="C40" s="12">
        <v>17</v>
      </c>
      <c r="D40" s="21">
        <f ca="1">SUM(B40+C40)</f>
        <v>45962</v>
      </c>
      <c r="E40" s="12" t="s">
        <v>56</v>
      </c>
      <c r="F40" s="35" t="s">
        <v>521</v>
      </c>
      <c r="G40" s="47"/>
    </row>
    <row r="41" spans="1:7" s="25" customFormat="1" x14ac:dyDescent="0.2">
      <c r="A41" s="35" t="s">
        <v>396</v>
      </c>
      <c r="B41" s="21">
        <f t="shared" ca="1" si="3"/>
        <v>45945</v>
      </c>
      <c r="C41" s="12">
        <v>14</v>
      </c>
      <c r="D41" s="21">
        <f ca="1">SUM(B41+C41)</f>
        <v>45959</v>
      </c>
      <c r="E41" s="12" t="s">
        <v>56</v>
      </c>
      <c r="F41" s="35" t="s">
        <v>396</v>
      </c>
      <c r="G41" s="47"/>
    </row>
    <row r="42" spans="1:7" s="25" customFormat="1" x14ac:dyDescent="0.2">
      <c r="A42" s="35" t="s">
        <v>531</v>
      </c>
      <c r="B42" s="21">
        <f t="shared" ca="1" si="3"/>
        <v>45945</v>
      </c>
      <c r="C42" s="12">
        <v>14</v>
      </c>
      <c r="D42" s="21">
        <f ca="1">SUM(B42+C42)</f>
        <v>45959</v>
      </c>
      <c r="E42" s="12" t="s">
        <v>56</v>
      </c>
      <c r="F42" s="35" t="s">
        <v>531</v>
      </c>
      <c r="G42" s="47"/>
    </row>
    <row r="43" spans="1:7" s="25" customFormat="1" x14ac:dyDescent="0.2">
      <c r="A43" s="35" t="s">
        <v>520</v>
      </c>
      <c r="B43" s="21">
        <f t="shared" ca="1" si="3"/>
        <v>45945</v>
      </c>
      <c r="C43" s="12">
        <v>14</v>
      </c>
      <c r="D43" s="21">
        <f ca="1">SUM(B43+C43)</f>
        <v>45959</v>
      </c>
      <c r="E43" s="12" t="s">
        <v>56</v>
      </c>
      <c r="F43" s="35" t="s">
        <v>520</v>
      </c>
      <c r="G43" s="47"/>
    </row>
    <row r="44" spans="1:7" s="25" customFormat="1" x14ac:dyDescent="0.2">
      <c r="A44" s="113"/>
      <c r="B44" s="28"/>
      <c r="C44" s="8"/>
      <c r="D44" s="28"/>
      <c r="E44" s="8"/>
      <c r="F44" s="105"/>
      <c r="G44" s="44"/>
    </row>
    <row r="45" spans="1:7" s="25" customFormat="1" ht="15.75" x14ac:dyDescent="0.25">
      <c r="A45" s="34" t="s">
        <v>604</v>
      </c>
      <c r="B45" s="26" t="s">
        <v>112</v>
      </c>
      <c r="C45" s="26" t="s">
        <v>11</v>
      </c>
      <c r="D45" s="26" t="s">
        <v>200</v>
      </c>
      <c r="E45" s="26" t="s">
        <v>6</v>
      </c>
      <c r="F45" s="26" t="s">
        <v>470</v>
      </c>
      <c r="G45" s="46" t="s">
        <v>603</v>
      </c>
    </row>
    <row r="46" spans="1:7" s="25" customFormat="1" x14ac:dyDescent="0.2">
      <c r="A46" s="35" t="s">
        <v>416</v>
      </c>
      <c r="B46" s="21">
        <f ca="1">TODAY()</f>
        <v>45945</v>
      </c>
      <c r="C46" s="12">
        <v>14</v>
      </c>
      <c r="D46" s="21">
        <f ca="1">SUM(B46+C46)</f>
        <v>45959</v>
      </c>
      <c r="E46" s="12" t="s">
        <v>56</v>
      </c>
      <c r="F46" s="35" t="s">
        <v>416</v>
      </c>
      <c r="G46" s="47"/>
    </row>
    <row r="47" spans="1:7" s="25" customFormat="1" x14ac:dyDescent="0.2">
      <c r="A47" s="35" t="s">
        <v>419</v>
      </c>
      <c r="B47" s="21">
        <f ca="1">TODAY()</f>
        <v>45945</v>
      </c>
      <c r="C47" s="12">
        <v>14</v>
      </c>
      <c r="D47" s="21">
        <f ca="1">SUM(B47+C47)</f>
        <v>45959</v>
      </c>
      <c r="E47" s="12" t="s">
        <v>56</v>
      </c>
      <c r="F47" s="35" t="s">
        <v>419</v>
      </c>
      <c r="G47" s="47"/>
    </row>
    <row r="48" spans="1:7" s="25" customFormat="1" x14ac:dyDescent="0.2">
      <c r="A48" s="35" t="s">
        <v>418</v>
      </c>
      <c r="B48" s="21">
        <f ca="1">TODAY()</f>
        <v>45945</v>
      </c>
      <c r="C48" s="12">
        <v>14</v>
      </c>
      <c r="D48" s="21">
        <f ca="1">SUM(B48+C48)</f>
        <v>45959</v>
      </c>
      <c r="E48" s="12" t="s">
        <v>56</v>
      </c>
      <c r="F48" s="35" t="s">
        <v>418</v>
      </c>
      <c r="G48" s="47"/>
    </row>
    <row r="49" spans="1:7" s="25" customFormat="1" x14ac:dyDescent="0.2">
      <c r="A49" s="35" t="s">
        <v>555</v>
      </c>
      <c r="B49" s="21">
        <f ca="1">TODAY()</f>
        <v>45945</v>
      </c>
      <c r="C49" s="12">
        <v>14</v>
      </c>
      <c r="D49" s="21">
        <f ca="1">SUM(B49+C49)</f>
        <v>45959</v>
      </c>
      <c r="E49" s="12" t="s">
        <v>56</v>
      </c>
      <c r="F49" s="35" t="s">
        <v>523</v>
      </c>
      <c r="G49" s="47"/>
    </row>
    <row r="51" spans="1:7" ht="15.75" x14ac:dyDescent="0.25">
      <c r="A51" s="34" t="s">
        <v>607</v>
      </c>
      <c r="B51" s="26" t="s">
        <v>112</v>
      </c>
      <c r="C51" s="26" t="s">
        <v>11</v>
      </c>
      <c r="D51" s="26" t="s">
        <v>200</v>
      </c>
      <c r="E51" s="26" t="s">
        <v>6</v>
      </c>
      <c r="F51" s="26" t="s">
        <v>470</v>
      </c>
      <c r="G51" s="46" t="s">
        <v>585</v>
      </c>
    </row>
    <row r="52" spans="1:7" x14ac:dyDescent="0.2">
      <c r="A52" s="12">
        <v>6</v>
      </c>
      <c r="B52" s="67">
        <f t="shared" ref="B52:B61" ca="1" si="5">TODAY()</f>
        <v>45945</v>
      </c>
      <c r="C52" s="12">
        <v>14</v>
      </c>
      <c r="D52" s="21">
        <f t="shared" ref="D52:D61" ca="1" si="6">SUM(B52+C52)</f>
        <v>45959</v>
      </c>
      <c r="E52" s="12" t="s">
        <v>56</v>
      </c>
      <c r="F52" s="35" t="s">
        <v>324</v>
      </c>
      <c r="G52" s="47" t="s">
        <v>161</v>
      </c>
    </row>
    <row r="53" spans="1:7" x14ac:dyDescent="0.2">
      <c r="A53" s="12">
        <v>7</v>
      </c>
      <c r="B53" s="67">
        <f t="shared" ca="1" si="5"/>
        <v>45945</v>
      </c>
      <c r="C53" s="12">
        <v>14</v>
      </c>
      <c r="D53" s="21">
        <f t="shared" ca="1" si="6"/>
        <v>45959</v>
      </c>
      <c r="E53" s="12" t="s">
        <v>56</v>
      </c>
      <c r="F53" s="35" t="s">
        <v>325</v>
      </c>
      <c r="G53" s="47" t="s">
        <v>158</v>
      </c>
    </row>
    <row r="54" spans="1:7" x14ac:dyDescent="0.2">
      <c r="A54" s="12">
        <v>8</v>
      </c>
      <c r="B54" s="67">
        <f t="shared" ca="1" si="5"/>
        <v>45945</v>
      </c>
      <c r="C54" s="12">
        <v>14</v>
      </c>
      <c r="D54" s="21">
        <f t="shared" ca="1" si="6"/>
        <v>45959</v>
      </c>
      <c r="E54" s="12" t="s">
        <v>56</v>
      </c>
      <c r="F54" s="35" t="s">
        <v>326</v>
      </c>
      <c r="G54" s="47" t="s">
        <v>159</v>
      </c>
    </row>
    <row r="55" spans="1:7" x14ac:dyDescent="0.2">
      <c r="A55" s="12">
        <v>9</v>
      </c>
      <c r="B55" s="67">
        <f t="shared" ca="1" si="5"/>
        <v>45945</v>
      </c>
      <c r="C55" s="12">
        <v>14</v>
      </c>
      <c r="D55" s="21">
        <f t="shared" ca="1" si="6"/>
        <v>45959</v>
      </c>
      <c r="E55" s="12" t="s">
        <v>56</v>
      </c>
      <c r="F55" s="35" t="s">
        <v>318</v>
      </c>
      <c r="G55" s="47" t="s">
        <v>160</v>
      </c>
    </row>
    <row r="56" spans="1:7" ht="18" x14ac:dyDescent="0.25">
      <c r="A56" s="112">
        <v>10</v>
      </c>
      <c r="B56" s="67">
        <f t="shared" ca="1" si="5"/>
        <v>45945</v>
      </c>
      <c r="C56" s="12">
        <v>14</v>
      </c>
      <c r="D56" s="21">
        <f t="shared" ca="1" si="6"/>
        <v>45959</v>
      </c>
      <c r="E56" s="12" t="s">
        <v>56</v>
      </c>
      <c r="F56" s="35" t="s">
        <v>314</v>
      </c>
      <c r="G56" s="47" t="s">
        <v>162</v>
      </c>
    </row>
    <row r="57" spans="1:7" x14ac:dyDescent="0.2">
      <c r="A57" s="12">
        <v>11</v>
      </c>
      <c r="B57" s="67">
        <f t="shared" ca="1" si="5"/>
        <v>45945</v>
      </c>
      <c r="C57" s="12">
        <v>14</v>
      </c>
      <c r="D57" s="21">
        <f t="shared" ca="1" si="6"/>
        <v>45959</v>
      </c>
      <c r="E57" s="12" t="s">
        <v>56</v>
      </c>
      <c r="F57" s="35" t="s">
        <v>315</v>
      </c>
      <c r="G57" s="47" t="s">
        <v>163</v>
      </c>
    </row>
    <row r="58" spans="1:7" x14ac:dyDescent="0.2">
      <c r="A58" s="12">
        <v>12</v>
      </c>
      <c r="B58" s="67">
        <f t="shared" ca="1" si="5"/>
        <v>45945</v>
      </c>
      <c r="C58" s="12">
        <v>14</v>
      </c>
      <c r="D58" s="21">
        <f t="shared" ca="1" si="6"/>
        <v>45959</v>
      </c>
      <c r="E58" s="12" t="s">
        <v>56</v>
      </c>
      <c r="F58" s="35" t="s">
        <v>316</v>
      </c>
      <c r="G58" s="47" t="s">
        <v>164</v>
      </c>
    </row>
    <row r="59" spans="1:7" x14ac:dyDescent="0.2">
      <c r="A59" s="12">
        <v>13</v>
      </c>
      <c r="B59" s="67">
        <f t="shared" ca="1" si="5"/>
        <v>45945</v>
      </c>
      <c r="C59" s="12">
        <v>14</v>
      </c>
      <c r="D59" s="21">
        <f t="shared" ca="1" si="6"/>
        <v>45959</v>
      </c>
      <c r="E59" s="12" t="s">
        <v>56</v>
      </c>
      <c r="F59" s="35" t="s">
        <v>317</v>
      </c>
      <c r="G59" s="47" t="s">
        <v>165</v>
      </c>
    </row>
    <row r="60" spans="1:7" x14ac:dyDescent="0.2">
      <c r="A60" s="12">
        <v>14</v>
      </c>
      <c r="B60" s="67">
        <f t="shared" ca="1" si="5"/>
        <v>45945</v>
      </c>
      <c r="C60" s="12">
        <v>14</v>
      </c>
      <c r="D60" s="21">
        <f t="shared" ca="1" si="6"/>
        <v>45959</v>
      </c>
      <c r="E60" s="12" t="s">
        <v>56</v>
      </c>
      <c r="F60" s="35" t="s">
        <v>319</v>
      </c>
      <c r="G60" s="47" t="s">
        <v>166</v>
      </c>
    </row>
    <row r="61" spans="1:7" x14ac:dyDescent="0.2">
      <c r="A61" s="12">
        <v>15</v>
      </c>
      <c r="B61" s="67">
        <f t="shared" ca="1" si="5"/>
        <v>45945</v>
      </c>
      <c r="C61" s="12">
        <v>14</v>
      </c>
      <c r="D61" s="21">
        <f t="shared" ca="1" si="6"/>
        <v>45959</v>
      </c>
      <c r="E61" s="12" t="s">
        <v>56</v>
      </c>
      <c r="F61" s="35" t="s">
        <v>320</v>
      </c>
      <c r="G61" s="47" t="s">
        <v>167</v>
      </c>
    </row>
    <row r="62" spans="1:7" x14ac:dyDescent="0.2">
      <c r="A62" s="25"/>
      <c r="B62" s="25"/>
      <c r="C62" s="25"/>
      <c r="D62" s="24"/>
      <c r="E62" s="23"/>
      <c r="F62" s="23"/>
      <c r="G62" s="45"/>
    </row>
    <row r="63" spans="1:7" ht="18" x14ac:dyDescent="0.25">
      <c r="A63" s="256" t="s">
        <v>1</v>
      </c>
      <c r="B63" s="256"/>
      <c r="C63" s="256"/>
      <c r="D63" s="256"/>
      <c r="E63" s="256"/>
      <c r="F63" s="256"/>
      <c r="G63" s="256"/>
    </row>
    <row r="64" spans="1:7" ht="15.75" x14ac:dyDescent="0.25">
      <c r="A64" s="34" t="s">
        <v>608</v>
      </c>
      <c r="B64" s="51" t="s">
        <v>112</v>
      </c>
      <c r="C64" s="26" t="s">
        <v>11</v>
      </c>
      <c r="D64" s="26" t="s">
        <v>200</v>
      </c>
      <c r="E64" s="26" t="s">
        <v>6</v>
      </c>
      <c r="F64" s="237" t="s">
        <v>585</v>
      </c>
      <c r="G64" s="238"/>
    </row>
    <row r="65" spans="1:7" ht="15.75" x14ac:dyDescent="0.25">
      <c r="A65" s="49">
        <v>0</v>
      </c>
      <c r="B65" s="67">
        <f ca="1">TODAY()</f>
        <v>45945</v>
      </c>
      <c r="C65" s="12">
        <v>14</v>
      </c>
      <c r="D65" s="21">
        <f ca="1">SUM(B65+C65)</f>
        <v>45959</v>
      </c>
      <c r="E65" s="12" t="s">
        <v>56</v>
      </c>
      <c r="F65" s="241" t="s">
        <v>197</v>
      </c>
      <c r="G65" s="242"/>
    </row>
    <row r="66" spans="1:7" x14ac:dyDescent="0.2">
      <c r="A66" s="49">
        <v>1</v>
      </c>
      <c r="B66" s="60"/>
      <c r="C66" s="61"/>
      <c r="D66" s="61"/>
      <c r="E66" s="62"/>
      <c r="F66" s="239" t="s">
        <v>168</v>
      </c>
      <c r="G66" s="240"/>
    </row>
    <row r="67" spans="1:7" x14ac:dyDescent="0.2">
      <c r="A67" s="49">
        <v>2</v>
      </c>
      <c r="B67" s="63"/>
      <c r="C67" s="23"/>
      <c r="D67" s="24"/>
      <c r="E67" s="56"/>
      <c r="F67" s="239" t="s">
        <v>171</v>
      </c>
      <c r="G67" s="240"/>
    </row>
    <row r="68" spans="1:7" x14ac:dyDescent="0.2">
      <c r="A68" s="49">
        <v>3</v>
      </c>
      <c r="B68" s="63"/>
      <c r="C68" s="23"/>
      <c r="D68" s="24"/>
      <c r="E68" s="56"/>
      <c r="F68" s="239" t="s">
        <v>172</v>
      </c>
      <c r="G68" s="240"/>
    </row>
    <row r="69" spans="1:7" x14ac:dyDescent="0.2">
      <c r="A69" s="49">
        <v>4</v>
      </c>
      <c r="B69" s="63"/>
      <c r="C69" s="23"/>
      <c r="D69" s="24"/>
      <c r="E69" s="56"/>
      <c r="F69" s="239" t="s">
        <v>173</v>
      </c>
      <c r="G69" s="240"/>
    </row>
    <row r="70" spans="1:7" x14ac:dyDescent="0.2">
      <c r="A70" s="49">
        <v>5</v>
      </c>
      <c r="B70" s="63"/>
      <c r="C70" s="23"/>
      <c r="D70" s="24"/>
      <c r="E70" s="56"/>
      <c r="F70" s="239" t="s">
        <v>174</v>
      </c>
      <c r="G70" s="240"/>
    </row>
    <row r="71" spans="1:7" x14ac:dyDescent="0.2">
      <c r="A71" s="49">
        <v>6</v>
      </c>
      <c r="B71" s="63"/>
      <c r="C71" s="23"/>
      <c r="D71" s="24"/>
      <c r="E71" s="56"/>
      <c r="F71" s="239" t="s">
        <v>175</v>
      </c>
      <c r="G71" s="240"/>
    </row>
    <row r="72" spans="1:7" x14ac:dyDescent="0.2">
      <c r="A72" s="49">
        <v>7</v>
      </c>
      <c r="B72" s="63"/>
      <c r="C72" s="23"/>
      <c r="D72" s="24"/>
      <c r="E72" s="56"/>
      <c r="F72" s="239" t="s">
        <v>176</v>
      </c>
      <c r="G72" s="240"/>
    </row>
    <row r="73" spans="1:7" x14ac:dyDescent="0.2">
      <c r="A73" s="49">
        <v>8</v>
      </c>
      <c r="B73" s="63"/>
      <c r="C73" s="23"/>
      <c r="D73" s="24"/>
      <c r="E73" s="56"/>
      <c r="F73" s="239" t="s">
        <v>177</v>
      </c>
      <c r="G73" s="240"/>
    </row>
    <row r="74" spans="1:7" x14ac:dyDescent="0.2">
      <c r="A74" s="49">
        <v>9</v>
      </c>
      <c r="B74" s="63"/>
      <c r="C74" s="23"/>
      <c r="D74" s="24"/>
      <c r="E74" s="56"/>
      <c r="F74" s="239" t="s">
        <v>178</v>
      </c>
      <c r="G74" s="240"/>
    </row>
    <row r="75" spans="1:7" ht="15.75" x14ac:dyDescent="0.25">
      <c r="A75" s="49">
        <v>10</v>
      </c>
      <c r="B75" s="63"/>
      <c r="C75" s="23"/>
      <c r="D75" s="24"/>
      <c r="E75" s="56"/>
      <c r="F75" s="241" t="s">
        <v>198</v>
      </c>
      <c r="G75" s="242"/>
    </row>
    <row r="76" spans="1:7" ht="15.75" x14ac:dyDescent="0.25">
      <c r="A76" s="42"/>
      <c r="B76" s="50"/>
      <c r="C76" s="23"/>
      <c r="D76" s="24"/>
      <c r="E76" s="23"/>
      <c r="F76" s="23"/>
      <c r="G76" s="64"/>
    </row>
    <row r="77" spans="1:7" ht="15.75" x14ac:dyDescent="0.25">
      <c r="A77" s="34" t="s">
        <v>609</v>
      </c>
      <c r="B77" s="52" t="s">
        <v>112</v>
      </c>
      <c r="C77" s="52" t="s">
        <v>11</v>
      </c>
      <c r="D77" s="53" t="s">
        <v>200</v>
      </c>
      <c r="E77" s="52" t="s">
        <v>6</v>
      </c>
      <c r="F77" s="237" t="s">
        <v>7</v>
      </c>
      <c r="G77" s="238"/>
    </row>
    <row r="78" spans="1:7" ht="15.75" x14ac:dyDescent="0.25">
      <c r="A78" s="8">
        <v>0</v>
      </c>
      <c r="B78" s="29">
        <f ca="1">TODAY()</f>
        <v>45945</v>
      </c>
      <c r="C78" s="12">
        <v>14</v>
      </c>
      <c r="D78" s="21">
        <f ca="1">SUM(B78+C78)</f>
        <v>45959</v>
      </c>
      <c r="E78" s="12" t="s">
        <v>56</v>
      </c>
      <c r="F78" s="241" t="s">
        <v>197</v>
      </c>
      <c r="G78" s="242"/>
    </row>
    <row r="79" spans="1:7" x14ac:dyDescent="0.2">
      <c r="A79" s="12">
        <v>1</v>
      </c>
      <c r="B79" s="25"/>
      <c r="C79" s="25"/>
      <c r="D79" s="25"/>
      <c r="E79" s="55"/>
      <c r="F79" s="239" t="s">
        <v>180</v>
      </c>
      <c r="G79" s="240"/>
    </row>
    <row r="80" spans="1:7" x14ac:dyDescent="0.2">
      <c r="A80" s="12">
        <v>2</v>
      </c>
      <c r="B80" s="50"/>
      <c r="C80" s="23"/>
      <c r="D80" s="24"/>
      <c r="E80" s="56"/>
      <c r="F80" s="239" t="s">
        <v>181</v>
      </c>
      <c r="G80" s="240"/>
    </row>
    <row r="81" spans="1:7" x14ac:dyDescent="0.2">
      <c r="A81" s="12">
        <v>3</v>
      </c>
      <c r="B81" s="50"/>
      <c r="C81" s="23"/>
      <c r="D81" s="24"/>
      <c r="E81" s="56"/>
      <c r="F81" s="239" t="s">
        <v>182</v>
      </c>
      <c r="G81" s="240"/>
    </row>
    <row r="82" spans="1:7" x14ac:dyDescent="0.2">
      <c r="A82" s="12">
        <v>4</v>
      </c>
      <c r="B82" s="50"/>
      <c r="C82" s="23"/>
      <c r="D82" s="24"/>
      <c r="E82" s="56"/>
      <c r="F82" s="239" t="s">
        <v>183</v>
      </c>
      <c r="G82" s="240"/>
    </row>
    <row r="83" spans="1:7" x14ac:dyDescent="0.2">
      <c r="A83" s="12">
        <v>5</v>
      </c>
      <c r="B83" s="50"/>
      <c r="C83" s="23"/>
      <c r="D83" s="24"/>
      <c r="E83" s="56"/>
      <c r="F83" s="239" t="s">
        <v>184</v>
      </c>
      <c r="G83" s="240"/>
    </row>
    <row r="84" spans="1:7" x14ac:dyDescent="0.2">
      <c r="A84" s="12">
        <v>6</v>
      </c>
      <c r="B84" s="50"/>
      <c r="C84" s="23"/>
      <c r="D84" s="24"/>
      <c r="E84" s="56"/>
      <c r="F84" s="239" t="s">
        <v>185</v>
      </c>
      <c r="G84" s="240"/>
    </row>
    <row r="85" spans="1:7" x14ac:dyDescent="0.2">
      <c r="A85" s="12">
        <v>7</v>
      </c>
      <c r="B85" s="50"/>
      <c r="C85" s="23"/>
      <c r="D85" s="24"/>
      <c r="E85" s="56"/>
      <c r="F85" s="239" t="s">
        <v>186</v>
      </c>
      <c r="G85" s="240"/>
    </row>
    <row r="86" spans="1:7" x14ac:dyDescent="0.2">
      <c r="A86" s="12">
        <v>8</v>
      </c>
      <c r="B86" s="50"/>
      <c r="C86" s="23"/>
      <c r="D86" s="24"/>
      <c r="E86" s="56"/>
      <c r="F86" s="239" t="s">
        <v>187</v>
      </c>
      <c r="G86" s="240"/>
    </row>
    <row r="87" spans="1:7" x14ac:dyDescent="0.2">
      <c r="A87" s="12">
        <v>9</v>
      </c>
      <c r="B87" s="50"/>
      <c r="C87" s="23"/>
      <c r="D87" s="24"/>
      <c r="E87" s="56"/>
      <c r="F87" s="239" t="s">
        <v>188</v>
      </c>
      <c r="G87" s="240"/>
    </row>
    <row r="88" spans="1:7" x14ac:dyDescent="0.2">
      <c r="A88" s="12">
        <v>10</v>
      </c>
      <c r="B88" s="50"/>
      <c r="C88" s="23"/>
      <c r="D88" s="24"/>
      <c r="E88" s="56"/>
      <c r="F88" s="239" t="s">
        <v>189</v>
      </c>
      <c r="G88" s="240"/>
    </row>
    <row r="89" spans="1:7" ht="15.75" x14ac:dyDescent="0.25">
      <c r="A89" s="12">
        <v>11</v>
      </c>
      <c r="B89" s="50"/>
      <c r="C89" s="23"/>
      <c r="D89" s="24"/>
      <c r="E89" s="56"/>
      <c r="F89" s="241" t="s">
        <v>198</v>
      </c>
      <c r="G89" s="242"/>
    </row>
    <row r="90" spans="1:7" ht="15.75" x14ac:dyDescent="0.25">
      <c r="A90" s="42"/>
      <c r="B90" s="57"/>
      <c r="C90" s="58"/>
      <c r="D90" s="59"/>
      <c r="E90" s="58"/>
      <c r="F90" s="58"/>
      <c r="G90" s="64"/>
    </row>
    <row r="91" spans="1:7" ht="15.75" x14ac:dyDescent="0.25">
      <c r="A91" s="34" t="s">
        <v>610</v>
      </c>
      <c r="B91" s="52" t="s">
        <v>112</v>
      </c>
      <c r="C91" s="52" t="s">
        <v>11</v>
      </c>
      <c r="D91" s="53" t="s">
        <v>200</v>
      </c>
      <c r="E91" s="52" t="s">
        <v>6</v>
      </c>
      <c r="F91" s="237" t="s">
        <v>7</v>
      </c>
      <c r="G91" s="238"/>
    </row>
    <row r="92" spans="1:7" ht="15.75" x14ac:dyDescent="0.25">
      <c r="A92" s="8">
        <v>0</v>
      </c>
      <c r="B92" s="29">
        <f ca="1">TODAY()</f>
        <v>45945</v>
      </c>
      <c r="C92" s="12">
        <v>14</v>
      </c>
      <c r="D92" s="21">
        <f ca="1">SUM(B92+C92)</f>
        <v>45959</v>
      </c>
      <c r="E92" s="12" t="s">
        <v>56</v>
      </c>
      <c r="F92" s="241" t="s">
        <v>197</v>
      </c>
      <c r="G92" s="242"/>
    </row>
    <row r="93" spans="1:7" x14ac:dyDescent="0.2">
      <c r="A93" s="12">
        <v>1</v>
      </c>
      <c r="B93" s="25"/>
      <c r="C93" s="25"/>
      <c r="D93" s="25"/>
      <c r="E93" s="55"/>
      <c r="F93" s="239" t="s">
        <v>168</v>
      </c>
      <c r="G93" s="240"/>
    </row>
    <row r="94" spans="1:7" x14ac:dyDescent="0.2">
      <c r="A94" s="12">
        <v>2</v>
      </c>
      <c r="B94" s="50"/>
      <c r="C94" s="23"/>
      <c r="D94" s="24"/>
      <c r="E94" s="56"/>
      <c r="F94" s="239" t="s">
        <v>191</v>
      </c>
      <c r="G94" s="240"/>
    </row>
    <row r="95" spans="1:7" x14ac:dyDescent="0.2">
      <c r="A95" s="12">
        <v>3</v>
      </c>
      <c r="B95" s="50"/>
      <c r="C95" s="23"/>
      <c r="D95" s="24"/>
      <c r="E95" s="56"/>
      <c r="F95" s="239" t="s">
        <v>192</v>
      </c>
      <c r="G95" s="240"/>
    </row>
    <row r="96" spans="1:7" x14ac:dyDescent="0.2">
      <c r="A96" s="12">
        <v>4</v>
      </c>
      <c r="B96" s="50"/>
      <c r="C96" s="23"/>
      <c r="D96" s="24"/>
      <c r="E96" s="56"/>
      <c r="F96" s="239" t="s">
        <v>193</v>
      </c>
      <c r="G96" s="240"/>
    </row>
    <row r="97" spans="1:7" x14ac:dyDescent="0.2">
      <c r="A97" s="12">
        <v>5</v>
      </c>
      <c r="B97" s="50"/>
      <c r="C97" s="23"/>
      <c r="D97" s="24"/>
      <c r="E97" s="56"/>
      <c r="F97" s="239" t="s">
        <v>194</v>
      </c>
      <c r="G97" s="240"/>
    </row>
    <row r="98" spans="1:7" x14ac:dyDescent="0.2">
      <c r="A98" s="12">
        <v>6</v>
      </c>
      <c r="B98" s="50"/>
      <c r="C98" s="23"/>
      <c r="D98" s="24"/>
      <c r="E98" s="56"/>
      <c r="F98" s="239" t="s">
        <v>168</v>
      </c>
      <c r="G98" s="240"/>
    </row>
    <row r="99" spans="1:7" x14ac:dyDescent="0.2">
      <c r="A99" s="12">
        <v>7</v>
      </c>
      <c r="B99" s="50"/>
      <c r="C99" s="23"/>
      <c r="D99" s="24"/>
      <c r="E99" s="56"/>
      <c r="F99" s="239" t="s">
        <v>191</v>
      </c>
      <c r="G99" s="240"/>
    </row>
    <row r="100" spans="1:7" x14ac:dyDescent="0.2">
      <c r="A100" s="12">
        <v>8</v>
      </c>
      <c r="B100" s="50"/>
      <c r="C100" s="23"/>
      <c r="D100" s="24"/>
      <c r="E100" s="56"/>
      <c r="F100" s="239" t="s">
        <v>192</v>
      </c>
      <c r="G100" s="240"/>
    </row>
    <row r="101" spans="1:7" x14ac:dyDescent="0.2">
      <c r="A101" s="12">
        <v>9</v>
      </c>
      <c r="B101" s="50"/>
      <c r="C101" s="23"/>
      <c r="D101" s="24"/>
      <c r="E101" s="56"/>
      <c r="F101" s="239" t="s">
        <v>193</v>
      </c>
      <c r="G101" s="240"/>
    </row>
    <row r="102" spans="1:7" x14ac:dyDescent="0.2">
      <c r="A102" s="12">
        <v>10</v>
      </c>
      <c r="B102" s="50"/>
      <c r="C102" s="23"/>
      <c r="D102" s="24"/>
      <c r="E102" s="56"/>
      <c r="F102" s="239" t="s">
        <v>195</v>
      </c>
      <c r="G102" s="240"/>
    </row>
    <row r="103" spans="1:7" ht="15.75" x14ac:dyDescent="0.25">
      <c r="A103" s="12">
        <v>11</v>
      </c>
      <c r="B103" s="63"/>
      <c r="C103" s="23"/>
      <c r="D103" s="24"/>
      <c r="E103" s="56"/>
      <c r="F103" s="241" t="s">
        <v>196</v>
      </c>
      <c r="G103" s="242"/>
    </row>
    <row r="104" spans="1:7" x14ac:dyDescent="0.2">
      <c r="A104" s="25"/>
      <c r="B104" s="25"/>
      <c r="C104" s="23"/>
      <c r="D104" s="24"/>
      <c r="E104" s="23"/>
      <c r="F104" s="23"/>
      <c r="G104" s="45"/>
    </row>
    <row r="105" spans="1:7" x14ac:dyDescent="0.2">
      <c r="A105" s="25"/>
      <c r="B105" s="25"/>
      <c r="C105" s="23"/>
      <c r="D105" s="24"/>
      <c r="E105" s="23"/>
      <c r="F105" s="23"/>
      <c r="G105" s="45"/>
    </row>
    <row r="106" spans="1:7" x14ac:dyDescent="0.2">
      <c r="A106" s="25"/>
      <c r="B106" s="25"/>
      <c r="C106" s="23"/>
      <c r="D106" s="24"/>
      <c r="E106" s="23"/>
      <c r="F106" s="23"/>
      <c r="G106" s="45"/>
    </row>
    <row r="107" spans="1:7" x14ac:dyDescent="0.2">
      <c r="A107" s="25"/>
      <c r="B107" s="25"/>
      <c r="C107" s="23"/>
      <c r="D107" s="24"/>
      <c r="E107" s="23"/>
      <c r="F107" s="23"/>
      <c r="G107" s="45"/>
    </row>
    <row r="108" spans="1:7" x14ac:dyDescent="0.2">
      <c r="A108" s="25"/>
      <c r="B108" s="25"/>
      <c r="C108" s="23"/>
      <c r="D108" s="24"/>
      <c r="E108" s="23"/>
      <c r="F108" s="23"/>
      <c r="G108" s="45"/>
    </row>
    <row r="109" spans="1:7" x14ac:dyDescent="0.2">
      <c r="A109" s="25"/>
      <c r="B109" s="25"/>
      <c r="C109" s="23"/>
      <c r="D109" s="24"/>
      <c r="E109" s="23"/>
      <c r="F109" s="23"/>
      <c r="G109" s="45"/>
    </row>
    <row r="110" spans="1:7" x14ac:dyDescent="0.2">
      <c r="A110" s="25"/>
      <c r="B110" s="25"/>
      <c r="C110" s="23"/>
      <c r="D110" s="24"/>
      <c r="E110" s="23"/>
      <c r="F110" s="23"/>
      <c r="G110" s="45"/>
    </row>
    <row r="111" spans="1:7" x14ac:dyDescent="0.2">
      <c r="A111" s="25"/>
      <c r="B111" s="25"/>
      <c r="C111" s="23"/>
      <c r="D111" s="24"/>
      <c r="E111" s="23"/>
      <c r="F111" s="23"/>
      <c r="G111" s="45"/>
    </row>
    <row r="112" spans="1:7" x14ac:dyDescent="0.2">
      <c r="A112" s="25"/>
      <c r="B112" s="25"/>
      <c r="C112" s="23"/>
      <c r="D112" s="24"/>
      <c r="E112" s="23"/>
      <c r="F112" s="23"/>
      <c r="G112" s="45"/>
    </row>
    <row r="113" spans="1:7" x14ac:dyDescent="0.2">
      <c r="A113" s="25"/>
      <c r="B113" s="25"/>
      <c r="C113" s="23"/>
      <c r="D113" s="24"/>
      <c r="E113" s="23"/>
      <c r="F113" s="23"/>
      <c r="G113" s="45"/>
    </row>
    <row r="114" spans="1:7" x14ac:dyDescent="0.2">
      <c r="A114" s="25"/>
      <c r="B114" s="25"/>
      <c r="C114" s="23"/>
      <c r="D114" s="24"/>
      <c r="E114" s="23"/>
      <c r="F114" s="23"/>
      <c r="G114" s="45"/>
    </row>
    <row r="115" spans="1:7" x14ac:dyDescent="0.2">
      <c r="A115" s="25"/>
      <c r="B115" s="25"/>
      <c r="C115" s="23"/>
      <c r="D115" s="24"/>
      <c r="E115" s="23"/>
      <c r="F115" s="23"/>
      <c r="G115" s="45"/>
    </row>
    <row r="116" spans="1:7" x14ac:dyDescent="0.2">
      <c r="A116" s="25"/>
      <c r="B116" s="25"/>
      <c r="C116" s="23"/>
      <c r="D116" s="24"/>
      <c r="E116" s="23"/>
      <c r="F116" s="23"/>
      <c r="G116" s="45"/>
    </row>
    <row r="117" spans="1:7" x14ac:dyDescent="0.2">
      <c r="A117" s="25"/>
      <c r="B117" s="25"/>
      <c r="C117" s="23"/>
      <c r="D117" s="24"/>
      <c r="E117" s="23"/>
      <c r="F117" s="23"/>
      <c r="G117" s="45"/>
    </row>
    <row r="118" spans="1:7" x14ac:dyDescent="0.2">
      <c r="A118" s="25"/>
      <c r="B118" s="25"/>
      <c r="C118" s="23"/>
      <c r="D118" s="24"/>
      <c r="E118" s="23"/>
      <c r="F118" s="23"/>
      <c r="G118" s="45"/>
    </row>
    <row r="119" spans="1:7" x14ac:dyDescent="0.2">
      <c r="A119" s="25"/>
      <c r="B119" s="25"/>
      <c r="C119" s="23"/>
      <c r="D119" s="24"/>
      <c r="E119" s="23"/>
      <c r="F119" s="23"/>
      <c r="G119" s="45"/>
    </row>
    <row r="120" spans="1:7" x14ac:dyDescent="0.2">
      <c r="A120" s="25"/>
      <c r="B120" s="25"/>
      <c r="C120" s="23"/>
      <c r="D120" s="24"/>
      <c r="E120" s="23"/>
      <c r="F120" s="23"/>
      <c r="G120" s="45"/>
    </row>
    <row r="121" spans="1:7" x14ac:dyDescent="0.2">
      <c r="A121" s="25"/>
      <c r="B121" s="25"/>
      <c r="C121" s="23"/>
      <c r="D121" s="24"/>
      <c r="E121" s="23"/>
      <c r="F121" s="23"/>
      <c r="G121" s="45"/>
    </row>
    <row r="122" spans="1:7" x14ac:dyDescent="0.2">
      <c r="A122" s="25"/>
      <c r="B122" s="25"/>
      <c r="C122" s="23"/>
      <c r="D122" s="24"/>
      <c r="E122" s="23"/>
      <c r="F122" s="23"/>
      <c r="G122" s="45"/>
    </row>
    <row r="123" spans="1:7" x14ac:dyDescent="0.2">
      <c r="A123" s="25"/>
      <c r="B123" s="25"/>
      <c r="C123" s="23"/>
      <c r="D123" s="24"/>
      <c r="E123" s="23"/>
      <c r="F123" s="23"/>
      <c r="G123" s="45"/>
    </row>
    <row r="124" spans="1:7" x14ac:dyDescent="0.2">
      <c r="A124" s="25"/>
      <c r="B124" s="25"/>
      <c r="C124" s="23"/>
      <c r="D124" s="24"/>
      <c r="E124" s="23"/>
      <c r="F124" s="23"/>
      <c r="G124" s="45"/>
    </row>
    <row r="125" spans="1:7" x14ac:dyDescent="0.2">
      <c r="A125" s="25"/>
      <c r="B125" s="25"/>
      <c r="C125" s="23"/>
      <c r="D125" s="24"/>
      <c r="E125" s="23"/>
      <c r="F125" s="23"/>
      <c r="G125" s="45"/>
    </row>
    <row r="126" spans="1:7" x14ac:dyDescent="0.2">
      <c r="A126" s="25"/>
      <c r="B126" s="25"/>
      <c r="C126" s="23"/>
      <c r="D126" s="24"/>
      <c r="E126" s="23"/>
      <c r="F126" s="23"/>
      <c r="G126" s="45"/>
    </row>
    <row r="127" spans="1:7" x14ac:dyDescent="0.2">
      <c r="A127" s="25"/>
      <c r="B127" s="25"/>
      <c r="C127" s="23"/>
      <c r="D127" s="24"/>
      <c r="E127" s="23"/>
      <c r="F127" s="23"/>
      <c r="G127" s="45"/>
    </row>
    <row r="128" spans="1:7" x14ac:dyDescent="0.2">
      <c r="A128" s="25"/>
      <c r="B128" s="25"/>
      <c r="C128" s="23"/>
      <c r="D128" s="24"/>
      <c r="E128" s="23"/>
      <c r="F128" s="23"/>
      <c r="G128" s="45"/>
    </row>
    <row r="129" spans="1:7" x14ac:dyDescent="0.2">
      <c r="A129" s="25"/>
      <c r="B129" s="25"/>
      <c r="C129" s="23"/>
      <c r="D129" s="24"/>
      <c r="E129" s="23"/>
      <c r="F129" s="23"/>
      <c r="G129" s="45"/>
    </row>
    <row r="130" spans="1:7" x14ac:dyDescent="0.2">
      <c r="A130" s="25"/>
      <c r="B130" s="25"/>
      <c r="C130" s="23"/>
      <c r="D130" s="24"/>
      <c r="E130" s="23"/>
      <c r="F130" s="23"/>
      <c r="G130" s="45"/>
    </row>
    <row r="131" spans="1:7" x14ac:dyDescent="0.2">
      <c r="A131" s="25"/>
      <c r="B131" s="25"/>
      <c r="C131" s="23"/>
      <c r="D131" s="24"/>
      <c r="E131" s="23"/>
      <c r="F131" s="23"/>
      <c r="G131" s="45"/>
    </row>
    <row r="132" spans="1:7" x14ac:dyDescent="0.2">
      <c r="A132" s="25"/>
      <c r="B132" s="25"/>
      <c r="C132" s="23"/>
      <c r="D132" s="24"/>
      <c r="E132" s="23"/>
      <c r="F132" s="23"/>
      <c r="G132" s="45"/>
    </row>
    <row r="133" spans="1:7" x14ac:dyDescent="0.2">
      <c r="A133" s="25"/>
      <c r="B133" s="25"/>
      <c r="C133" s="23"/>
      <c r="D133" s="24"/>
      <c r="E133" s="23"/>
      <c r="F133" s="23"/>
      <c r="G133" s="45"/>
    </row>
    <row r="134" spans="1:7" x14ac:dyDescent="0.2">
      <c r="A134" s="25"/>
      <c r="B134" s="25"/>
      <c r="C134" s="23"/>
      <c r="D134" s="24"/>
      <c r="E134" s="23"/>
      <c r="F134" s="23"/>
      <c r="G134" s="45"/>
    </row>
    <row r="135" spans="1:7" x14ac:dyDescent="0.2">
      <c r="A135" s="25"/>
      <c r="B135" s="25"/>
      <c r="C135" s="23"/>
      <c r="D135" s="24"/>
      <c r="E135" s="23"/>
      <c r="F135" s="23"/>
      <c r="G135" s="45"/>
    </row>
    <row r="136" spans="1:7" x14ac:dyDescent="0.2">
      <c r="A136" s="25"/>
      <c r="B136" s="25"/>
      <c r="C136" s="23"/>
      <c r="D136" s="24"/>
      <c r="E136" s="23"/>
      <c r="F136" s="23"/>
      <c r="G136" s="45"/>
    </row>
    <row r="137" spans="1:7" x14ac:dyDescent="0.2">
      <c r="A137" s="25"/>
      <c r="B137" s="25"/>
      <c r="C137" s="23"/>
      <c r="D137" s="24"/>
      <c r="E137" s="23"/>
      <c r="F137" s="23"/>
      <c r="G137" s="45"/>
    </row>
    <row r="138" spans="1:7" x14ac:dyDescent="0.2">
      <c r="A138" s="25"/>
      <c r="B138" s="25"/>
      <c r="C138" s="23"/>
      <c r="D138" s="24"/>
      <c r="E138" s="23"/>
      <c r="F138" s="23"/>
      <c r="G138" s="45"/>
    </row>
    <row r="139" spans="1:7" x14ac:dyDescent="0.2">
      <c r="A139" s="25"/>
      <c r="B139" s="25"/>
      <c r="C139" s="23"/>
      <c r="D139" s="24"/>
      <c r="E139" s="23"/>
      <c r="F139" s="23"/>
      <c r="G139" s="45"/>
    </row>
    <row r="140" spans="1:7" x14ac:dyDescent="0.2">
      <c r="A140" s="25"/>
      <c r="B140" s="25"/>
      <c r="C140" s="23"/>
      <c r="D140" s="24"/>
      <c r="E140" s="23"/>
      <c r="F140" s="23"/>
      <c r="G140" s="45"/>
    </row>
    <row r="141" spans="1:7" x14ac:dyDescent="0.2">
      <c r="A141" s="25"/>
      <c r="B141" s="25"/>
      <c r="C141" s="23"/>
      <c r="D141" s="24"/>
      <c r="E141" s="23"/>
      <c r="F141" s="23"/>
      <c r="G141" s="45"/>
    </row>
    <row r="142" spans="1:7" x14ac:dyDescent="0.2">
      <c r="A142" s="25"/>
      <c r="B142" s="25"/>
      <c r="C142" s="23"/>
      <c r="D142" s="24"/>
      <c r="E142" s="23"/>
      <c r="F142" s="23"/>
      <c r="G142" s="45"/>
    </row>
    <row r="143" spans="1:7" x14ac:dyDescent="0.2">
      <c r="A143" s="25"/>
      <c r="B143" s="25"/>
      <c r="C143" s="23"/>
      <c r="D143" s="24"/>
      <c r="E143" s="23"/>
      <c r="F143" s="23"/>
      <c r="G143" s="45"/>
    </row>
    <row r="144" spans="1:7" x14ac:dyDescent="0.2">
      <c r="A144" s="25"/>
      <c r="B144" s="25"/>
      <c r="C144" s="23"/>
      <c r="D144" s="24"/>
      <c r="E144" s="23"/>
      <c r="F144" s="23"/>
      <c r="G144" s="45"/>
    </row>
    <row r="145" spans="1:7" x14ac:dyDescent="0.2">
      <c r="A145" s="25"/>
      <c r="B145" s="25"/>
      <c r="C145" s="23"/>
      <c r="D145" s="24"/>
      <c r="E145" s="23"/>
      <c r="F145" s="23"/>
      <c r="G145" s="45"/>
    </row>
    <row r="146" spans="1:7" x14ac:dyDescent="0.2">
      <c r="A146" s="25"/>
      <c r="B146" s="25"/>
      <c r="C146" s="23"/>
      <c r="D146" s="24"/>
      <c r="E146" s="23"/>
      <c r="F146" s="23"/>
      <c r="G146" s="45"/>
    </row>
    <row r="147" spans="1:7" x14ac:dyDescent="0.2">
      <c r="A147" s="25"/>
      <c r="B147" s="25"/>
      <c r="C147" s="23"/>
      <c r="D147" s="24"/>
      <c r="E147" s="23"/>
      <c r="F147" s="23"/>
      <c r="G147" s="45"/>
    </row>
  </sheetData>
  <mergeCells count="51">
    <mergeCell ref="F101:G101"/>
    <mergeCell ref="F102:G102"/>
    <mergeCell ref="F103:G103"/>
    <mergeCell ref="F96:G96"/>
    <mergeCell ref="F97:G97"/>
    <mergeCell ref="F98:G98"/>
    <mergeCell ref="F99:G99"/>
    <mergeCell ref="F100:G100"/>
    <mergeCell ref="F91:G91"/>
    <mergeCell ref="F92:G92"/>
    <mergeCell ref="F93:G93"/>
    <mergeCell ref="F94:G94"/>
    <mergeCell ref="F95:G95"/>
    <mergeCell ref="F74:G74"/>
    <mergeCell ref="F75:G75"/>
    <mergeCell ref="F77:G77"/>
    <mergeCell ref="F78:G78"/>
    <mergeCell ref="F89:G89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69:G69"/>
    <mergeCell ref="F70:G70"/>
    <mergeCell ref="F71:G71"/>
    <mergeCell ref="F72:G72"/>
    <mergeCell ref="F73:G73"/>
    <mergeCell ref="F67:G67"/>
    <mergeCell ref="F68:G68"/>
    <mergeCell ref="F10:G10"/>
    <mergeCell ref="F13:G13"/>
    <mergeCell ref="F14:G14"/>
    <mergeCell ref="F18:G18"/>
    <mergeCell ref="F17:G17"/>
    <mergeCell ref="F15:G15"/>
    <mergeCell ref="F19:G19"/>
    <mergeCell ref="F16:G16"/>
    <mergeCell ref="F21:G21"/>
    <mergeCell ref="F64:G64"/>
    <mergeCell ref="F20:G20"/>
    <mergeCell ref="A9:G9"/>
    <mergeCell ref="A63:G63"/>
    <mergeCell ref="A23:G23"/>
    <mergeCell ref="F65:G65"/>
    <mergeCell ref="F66:G66"/>
  </mergeCells>
  <dataValidations count="3">
    <dataValidation type="list" allowBlank="1" showInputMessage="1" showErrorMessage="1" sqref="E52:E61 E78 E94:E103 E65 E67:E76 E92 E80:E90 E20:E22 E11:E12 E14 E16:E18 E33:E35 E46:E49 E37:E44 E25:E27 E29:E31" xr:uid="{C13FB840-518A-4045-AEC2-20628357BBEC}">
      <formula1>"Untrained, In Progress, Retrain, Trained,Proficient"</formula1>
    </dataValidation>
    <dataValidation type="list" allowBlank="1" showInputMessage="1" showErrorMessage="1" sqref="B3:B4 B8" xr:uid="{21A1C0E4-4BF8-4540-BFE0-8E83926AF982}">
      <formula1>"Yellow Stripe,Yellow Belt"</formula1>
    </dataValidation>
    <dataValidation type="list" allowBlank="1" showInputMessage="1" showErrorMessage="1" sqref="B6:B7" xr:uid="{91712676-49B3-476C-8B97-639A6B748C43}">
      <formula1>"Yes,No"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ED55-D004-4661-AEB4-005E4C5BB666}">
  <dimension ref="A1:V324"/>
  <sheetViews>
    <sheetView zoomScale="85" zoomScaleNormal="85" workbookViewId="0">
      <selection activeCell="D2" sqref="D2"/>
    </sheetView>
  </sheetViews>
  <sheetFormatPr defaultColWidth="8.85546875" defaultRowHeight="15" x14ac:dyDescent="0.2"/>
  <cols>
    <col min="1" max="1" width="37.140625" style="7" bestFit="1" customWidth="1"/>
    <col min="2" max="2" width="20.5703125" style="7" customWidth="1"/>
    <col min="3" max="3" width="19.140625" style="8" customWidth="1"/>
    <col min="4" max="5" width="30.140625" style="8" bestFit="1" customWidth="1"/>
    <col min="6" max="6" width="21.5703125" style="8" bestFit="1" customWidth="1"/>
    <col min="7" max="7" width="207.140625" style="8" bestFit="1" customWidth="1"/>
    <col min="8" max="22" width="8.85546875" style="25"/>
    <col min="23" max="16384" width="8.85546875" style="7"/>
  </cols>
  <sheetData>
    <row r="1" spans="1:7" x14ac:dyDescent="0.2">
      <c r="A1" s="14" t="s">
        <v>69</v>
      </c>
      <c r="B1" s="11"/>
      <c r="C1" s="19" t="s">
        <v>87</v>
      </c>
      <c r="D1" s="21">
        <f ca="1">TODAY()</f>
        <v>45945</v>
      </c>
      <c r="E1" s="23"/>
      <c r="F1" s="23"/>
      <c r="G1" s="23"/>
    </row>
    <row r="2" spans="1:7" ht="20.25" x14ac:dyDescent="0.3">
      <c r="A2" s="40" t="s">
        <v>78</v>
      </c>
      <c r="B2" s="232" t="s">
        <v>13</v>
      </c>
      <c r="C2" s="19" t="s">
        <v>5</v>
      </c>
      <c r="D2" s="21">
        <f>VLOOKUP(B3,Target,4,0)</f>
        <v>43937</v>
      </c>
      <c r="E2" s="23"/>
      <c r="F2" s="23"/>
      <c r="G2" s="23"/>
    </row>
    <row r="3" spans="1:7" ht="20.25" x14ac:dyDescent="0.3">
      <c r="A3" s="40" t="s">
        <v>70</v>
      </c>
      <c r="B3" s="118" t="s">
        <v>16</v>
      </c>
      <c r="C3" s="19" t="s">
        <v>12</v>
      </c>
      <c r="D3" s="22">
        <f ca="1">SUM(D2-(TODAY()))</f>
        <v>-2008</v>
      </c>
      <c r="E3" s="23"/>
      <c r="F3" s="23"/>
      <c r="G3" s="23"/>
    </row>
    <row r="4" spans="1:7" x14ac:dyDescent="0.2">
      <c r="A4" s="25"/>
      <c r="B4" s="25"/>
      <c r="C4" s="23"/>
      <c r="D4" s="23"/>
      <c r="E4" s="23"/>
      <c r="F4" s="23"/>
      <c r="G4" s="23"/>
    </row>
    <row r="5" spans="1:7" s="25" customFormat="1" ht="20.25" x14ac:dyDescent="0.3">
      <c r="A5" s="142" t="s">
        <v>101</v>
      </c>
      <c r="B5" s="31" t="s">
        <v>595</v>
      </c>
      <c r="C5" s="91"/>
      <c r="D5" s="91"/>
      <c r="E5" s="91"/>
      <c r="F5" s="91"/>
      <c r="G5" s="91"/>
    </row>
    <row r="6" spans="1:7" s="25" customFormat="1" ht="15.75" x14ac:dyDescent="0.25">
      <c r="A6" s="34" t="s">
        <v>613</v>
      </c>
      <c r="B6" s="31"/>
      <c r="C6" s="91"/>
      <c r="D6" s="91"/>
      <c r="E6" s="91"/>
      <c r="F6" s="91"/>
      <c r="G6" s="91"/>
    </row>
    <row r="7" spans="1:7" s="25" customFormat="1" ht="15.75" x14ac:dyDescent="0.25">
      <c r="A7" s="34" t="s">
        <v>616</v>
      </c>
      <c r="B7" s="31"/>
      <c r="C7" s="91"/>
      <c r="D7" s="91"/>
      <c r="E7" s="91"/>
      <c r="F7" s="91"/>
      <c r="G7" s="91"/>
    </row>
    <row r="8" spans="1:7" x14ac:dyDescent="0.2">
      <c r="A8" s="25"/>
      <c r="B8" s="25"/>
      <c r="C8" s="23"/>
      <c r="D8" s="23"/>
      <c r="E8" s="23"/>
      <c r="F8" s="23"/>
      <c r="G8" s="23"/>
    </row>
    <row r="9" spans="1:7" ht="15.75" x14ac:dyDescent="0.25">
      <c r="A9" s="266" t="s">
        <v>348</v>
      </c>
      <c r="B9" s="267"/>
      <c r="C9" s="267"/>
      <c r="D9" s="267"/>
      <c r="E9" s="267"/>
      <c r="F9" s="267"/>
      <c r="G9" s="267"/>
    </row>
    <row r="10" spans="1:7" s="25" customFormat="1" ht="15.75" x14ac:dyDescent="0.25">
      <c r="A10" s="34" t="s">
        <v>333</v>
      </c>
      <c r="B10" s="26" t="s">
        <v>112</v>
      </c>
      <c r="C10" s="26" t="s">
        <v>11</v>
      </c>
      <c r="D10" s="26" t="s">
        <v>200</v>
      </c>
      <c r="E10" s="26" t="s">
        <v>6</v>
      </c>
      <c r="F10" s="26" t="s">
        <v>470</v>
      </c>
      <c r="G10" s="110" t="s">
        <v>585</v>
      </c>
    </row>
    <row r="11" spans="1:7" s="25" customFormat="1" x14ac:dyDescent="0.2">
      <c r="A11" s="37" t="s">
        <v>493</v>
      </c>
      <c r="B11" s="37"/>
      <c r="C11" s="37"/>
      <c r="D11" s="37"/>
      <c r="E11" s="37"/>
      <c r="F11" s="37"/>
      <c r="G11" s="37"/>
    </row>
    <row r="12" spans="1:7" s="25" customFormat="1" x14ac:dyDescent="0.2">
      <c r="A12" s="37" t="s">
        <v>558</v>
      </c>
      <c r="B12" s="37"/>
      <c r="C12" s="37"/>
      <c r="D12" s="37"/>
      <c r="E12" s="37"/>
      <c r="F12" s="37"/>
      <c r="G12" s="37"/>
    </row>
    <row r="13" spans="1:7" s="92" customFormat="1" ht="15.75" x14ac:dyDescent="0.25">
      <c r="A13" s="96"/>
      <c r="B13" s="28"/>
      <c r="C13" s="8"/>
      <c r="D13" s="28"/>
      <c r="E13" s="8"/>
      <c r="G13" s="103"/>
    </row>
    <row r="14" spans="1:7" s="25" customFormat="1" ht="15.75" x14ac:dyDescent="0.25">
      <c r="A14" s="34" t="s">
        <v>499</v>
      </c>
      <c r="B14" s="26" t="s">
        <v>112</v>
      </c>
      <c r="C14" s="26" t="s">
        <v>11</v>
      </c>
      <c r="D14" s="26" t="s">
        <v>200</v>
      </c>
      <c r="E14" s="26" t="s">
        <v>6</v>
      </c>
      <c r="F14" s="26" t="s">
        <v>470</v>
      </c>
      <c r="G14" s="110" t="s">
        <v>585</v>
      </c>
    </row>
    <row r="15" spans="1:7" s="25" customFormat="1" x14ac:dyDescent="0.2">
      <c r="A15" s="107" t="s">
        <v>509</v>
      </c>
      <c r="B15" s="37"/>
      <c r="C15" s="37"/>
      <c r="D15" s="37"/>
      <c r="E15" s="37"/>
      <c r="F15" s="37"/>
      <c r="G15" s="37"/>
    </row>
    <row r="16" spans="1:7" s="25" customFormat="1" ht="15.75" x14ac:dyDescent="0.25">
      <c r="A16" s="37" t="s">
        <v>494</v>
      </c>
      <c r="B16" s="101"/>
      <c r="C16" s="101"/>
      <c r="D16" s="101"/>
      <c r="E16" s="101"/>
      <c r="F16" s="36" t="s">
        <v>486</v>
      </c>
      <c r="G16" s="102"/>
    </row>
    <row r="17" spans="1:7" s="96" customFormat="1" x14ac:dyDescent="0.2"/>
    <row r="18" spans="1:7" s="25" customFormat="1" ht="15.75" x14ac:dyDescent="0.25">
      <c r="A18" s="34" t="s">
        <v>498</v>
      </c>
      <c r="B18" s="26" t="s">
        <v>112</v>
      </c>
      <c r="C18" s="26" t="s">
        <v>11</v>
      </c>
      <c r="D18" s="26" t="s">
        <v>200</v>
      </c>
      <c r="E18" s="26" t="s">
        <v>6</v>
      </c>
      <c r="F18" s="26" t="s">
        <v>470</v>
      </c>
      <c r="G18" s="110" t="s">
        <v>585</v>
      </c>
    </row>
    <row r="19" spans="1:7" s="25" customFormat="1" ht="15.75" x14ac:dyDescent="0.25">
      <c r="A19" s="37" t="s">
        <v>510</v>
      </c>
      <c r="B19" s="101"/>
      <c r="C19" s="101"/>
      <c r="D19" s="101"/>
      <c r="E19" s="101"/>
      <c r="F19" s="36"/>
      <c r="G19" s="102"/>
    </row>
    <row r="20" spans="1:7" s="25" customFormat="1" ht="15.75" x14ac:dyDescent="0.25">
      <c r="A20" s="37" t="s">
        <v>505</v>
      </c>
      <c r="B20" s="101"/>
      <c r="C20" s="101"/>
      <c r="D20" s="101"/>
      <c r="E20" s="101"/>
      <c r="F20" s="36"/>
      <c r="G20" s="102"/>
    </row>
    <row r="21" spans="1:7" s="92" customFormat="1" ht="15.75" x14ac:dyDescent="0.25">
      <c r="A21" s="96"/>
      <c r="B21" s="28"/>
      <c r="C21" s="8"/>
      <c r="D21" s="28"/>
      <c r="E21" s="8"/>
      <c r="G21" s="103"/>
    </row>
    <row r="22" spans="1:7" s="25" customFormat="1" ht="15.75" x14ac:dyDescent="0.25">
      <c r="A22" s="34" t="s">
        <v>497</v>
      </c>
      <c r="B22" s="26" t="s">
        <v>112</v>
      </c>
      <c r="C22" s="26" t="s">
        <v>11</v>
      </c>
      <c r="D22" s="26" t="s">
        <v>200</v>
      </c>
      <c r="E22" s="26" t="s">
        <v>6</v>
      </c>
      <c r="F22" s="26" t="s">
        <v>470</v>
      </c>
      <c r="G22" s="110" t="s">
        <v>585</v>
      </c>
    </row>
    <row r="23" spans="1:7" s="25" customFormat="1" ht="15.75" x14ac:dyDescent="0.25">
      <c r="A23" s="37" t="s">
        <v>491</v>
      </c>
      <c r="B23" s="101"/>
      <c r="C23" s="101"/>
      <c r="D23" s="101"/>
      <c r="E23" s="101"/>
      <c r="F23" s="36"/>
      <c r="G23" s="102"/>
    </row>
    <row r="24" spans="1:7" s="25" customFormat="1" ht="15.75" x14ac:dyDescent="0.25">
      <c r="A24" s="37" t="s">
        <v>505</v>
      </c>
      <c r="B24" s="101"/>
      <c r="C24" s="101"/>
      <c r="D24" s="101"/>
      <c r="E24" s="101"/>
      <c r="F24" s="36"/>
      <c r="G24" s="102"/>
    </row>
    <row r="25" spans="1:7" s="92" customFormat="1" ht="15.75" x14ac:dyDescent="0.25">
      <c r="A25" s="125"/>
      <c r="B25" s="28"/>
      <c r="C25" s="8"/>
      <c r="D25" s="28"/>
      <c r="E25" s="8"/>
      <c r="G25" s="103"/>
    </row>
    <row r="26" spans="1:7" s="7" customFormat="1" ht="18" x14ac:dyDescent="0.25">
      <c r="A26" s="256" t="s">
        <v>0</v>
      </c>
      <c r="B26" s="256"/>
      <c r="C26" s="256"/>
      <c r="D26" s="256"/>
      <c r="E26" s="256"/>
      <c r="F26" s="256"/>
      <c r="G26" s="256"/>
    </row>
    <row r="27" spans="1:7" s="7" customFormat="1" ht="15.75" x14ac:dyDescent="0.25">
      <c r="A27" s="34" t="s">
        <v>556</v>
      </c>
      <c r="B27" s="26" t="s">
        <v>112</v>
      </c>
      <c r="C27" s="26" t="s">
        <v>11</v>
      </c>
      <c r="D27" s="26" t="s">
        <v>200</v>
      </c>
      <c r="E27" s="26" t="s">
        <v>6</v>
      </c>
      <c r="F27" s="26" t="s">
        <v>470</v>
      </c>
      <c r="G27" s="46" t="s">
        <v>547</v>
      </c>
    </row>
    <row r="28" spans="1:7" s="7" customFormat="1" x14ac:dyDescent="0.2">
      <c r="A28" s="12">
        <v>5</v>
      </c>
      <c r="B28" s="21">
        <f t="shared" ref="B28:B29" ca="1" si="0">TODAY()</f>
        <v>45945</v>
      </c>
      <c r="C28" s="12">
        <v>14</v>
      </c>
      <c r="D28" s="21">
        <f t="shared" ref="D28" ca="1" si="1">SUM(B28+C28)</f>
        <v>45959</v>
      </c>
      <c r="E28" s="12" t="s">
        <v>56</v>
      </c>
      <c r="F28" s="35"/>
      <c r="G28" s="47"/>
    </row>
    <row r="29" spans="1:7" s="7" customFormat="1" x14ac:dyDescent="0.2">
      <c r="A29" s="12">
        <v>6</v>
      </c>
      <c r="B29" s="21">
        <f t="shared" ca="1" si="0"/>
        <v>45945</v>
      </c>
      <c r="C29" s="12">
        <v>14</v>
      </c>
      <c r="D29" s="21">
        <f t="shared" ref="D29" ca="1" si="2">SUM(B29+C29)</f>
        <v>45959</v>
      </c>
      <c r="E29" s="12" t="s">
        <v>56</v>
      </c>
      <c r="F29" s="35"/>
      <c r="G29" s="47"/>
    </row>
    <row r="30" spans="1:7" s="92" customFormat="1" ht="15.75" x14ac:dyDescent="0.25">
      <c r="A30" s="96"/>
      <c r="B30" s="28"/>
      <c r="C30" s="8"/>
      <c r="D30" s="28"/>
      <c r="E30" s="8"/>
      <c r="G30" s="103"/>
    </row>
    <row r="31" spans="1:7" s="7" customFormat="1" ht="15.75" x14ac:dyDescent="0.25">
      <c r="A31" s="34" t="s">
        <v>426</v>
      </c>
      <c r="B31" s="26" t="s">
        <v>112</v>
      </c>
      <c r="C31" s="26" t="s">
        <v>11</v>
      </c>
      <c r="D31" s="26" t="s">
        <v>200</v>
      </c>
      <c r="E31" s="26" t="s">
        <v>6</v>
      </c>
      <c r="F31" s="26" t="s">
        <v>470</v>
      </c>
      <c r="G31" s="46" t="s">
        <v>427</v>
      </c>
    </row>
    <row r="32" spans="1:7" s="7" customFormat="1" x14ac:dyDescent="0.2">
      <c r="A32" s="35" t="s">
        <v>433</v>
      </c>
      <c r="B32" s="21">
        <f t="shared" ref="B32:B33" ca="1" si="3">TODAY()</f>
        <v>45945</v>
      </c>
      <c r="C32" s="12">
        <v>14</v>
      </c>
      <c r="D32" s="21">
        <f ca="1">SUM(B32+C32)</f>
        <v>45959</v>
      </c>
      <c r="E32" s="12" t="s">
        <v>56</v>
      </c>
      <c r="F32" s="35" t="s">
        <v>452</v>
      </c>
      <c r="G32" s="47"/>
    </row>
    <row r="33" spans="1:7" s="7" customFormat="1" x14ac:dyDescent="0.2">
      <c r="A33" s="35" t="s">
        <v>433</v>
      </c>
      <c r="B33" s="21">
        <f t="shared" ca="1" si="3"/>
        <v>45945</v>
      </c>
      <c r="C33" s="12">
        <v>14</v>
      </c>
      <c r="D33" s="21">
        <f ca="1">SUM(B33+C33)</f>
        <v>45959</v>
      </c>
      <c r="E33" s="12" t="s">
        <v>56</v>
      </c>
      <c r="F33" s="35" t="s">
        <v>452</v>
      </c>
      <c r="G33" s="47"/>
    </row>
    <row r="34" spans="1:7" s="92" customFormat="1" ht="15.75" x14ac:dyDescent="0.25">
      <c r="A34" s="96"/>
      <c r="B34" s="28"/>
      <c r="C34" s="8"/>
      <c r="D34" s="28"/>
      <c r="E34" s="8"/>
      <c r="G34" s="103"/>
    </row>
    <row r="35" spans="1:7" s="25" customFormat="1" ht="15.75" x14ac:dyDescent="0.25">
      <c r="A35" s="34" t="s">
        <v>393</v>
      </c>
      <c r="B35" s="26" t="s">
        <v>112</v>
      </c>
      <c r="C35" s="26" t="s">
        <v>11</v>
      </c>
      <c r="D35" s="26" t="s">
        <v>200</v>
      </c>
      <c r="E35" s="26" t="s">
        <v>6</v>
      </c>
      <c r="F35" s="26" t="s">
        <v>470</v>
      </c>
      <c r="G35" s="46" t="s">
        <v>466</v>
      </c>
    </row>
    <row r="36" spans="1:7" s="25" customFormat="1" x14ac:dyDescent="0.2">
      <c r="A36" s="35" t="s">
        <v>541</v>
      </c>
      <c r="B36" s="21">
        <f ca="1">TODAY()</f>
        <v>45945</v>
      </c>
      <c r="C36" s="12">
        <v>18</v>
      </c>
      <c r="D36" s="21">
        <f t="shared" ref="D36:D46" ca="1" si="4">SUM(B36+C36)</f>
        <v>45963</v>
      </c>
      <c r="E36" s="12" t="s">
        <v>56</v>
      </c>
      <c r="F36" s="35"/>
      <c r="G36" s="47"/>
    </row>
    <row r="37" spans="1:7" s="25" customFormat="1" x14ac:dyDescent="0.2">
      <c r="A37" s="35" t="s">
        <v>545</v>
      </c>
      <c r="B37" s="21">
        <f ca="1">TODAY()</f>
        <v>45945</v>
      </c>
      <c r="C37" s="12">
        <v>18</v>
      </c>
      <c r="D37" s="21">
        <f t="shared" ca="1" si="4"/>
        <v>45963</v>
      </c>
      <c r="E37" s="12" t="s">
        <v>56</v>
      </c>
      <c r="F37" s="35"/>
      <c r="G37" s="47"/>
    </row>
    <row r="38" spans="1:7" s="7" customFormat="1" x14ac:dyDescent="0.2">
      <c r="A38" s="35" t="s">
        <v>538</v>
      </c>
      <c r="B38" s="21">
        <f ca="1">TODAY()</f>
        <v>45945</v>
      </c>
      <c r="C38" s="12">
        <v>17</v>
      </c>
      <c r="D38" s="21">
        <f t="shared" ca="1" si="4"/>
        <v>45962</v>
      </c>
      <c r="E38" s="12" t="s">
        <v>56</v>
      </c>
      <c r="F38" s="35"/>
      <c r="G38" s="47"/>
    </row>
    <row r="39" spans="1:7" s="7" customFormat="1" x14ac:dyDescent="0.2">
      <c r="A39" s="35" t="s">
        <v>542</v>
      </c>
      <c r="B39" s="21">
        <f t="shared" ref="B39:B41" ca="1" si="5">TODAY()</f>
        <v>45945</v>
      </c>
      <c r="C39" s="12">
        <v>17</v>
      </c>
      <c r="D39" s="21">
        <f t="shared" ca="1" si="4"/>
        <v>45962</v>
      </c>
      <c r="E39" s="12" t="s">
        <v>56</v>
      </c>
      <c r="F39" s="35"/>
      <c r="G39" s="47"/>
    </row>
    <row r="40" spans="1:7" s="7" customFormat="1" x14ac:dyDescent="0.2">
      <c r="A40" s="35" t="s">
        <v>539</v>
      </c>
      <c r="B40" s="21">
        <f ca="1">TODAY()</f>
        <v>45945</v>
      </c>
      <c r="C40" s="12">
        <v>17</v>
      </c>
      <c r="D40" s="21">
        <f t="shared" ca="1" si="4"/>
        <v>45962</v>
      </c>
      <c r="E40" s="12" t="s">
        <v>56</v>
      </c>
      <c r="F40" s="35"/>
      <c r="G40" s="47"/>
    </row>
    <row r="41" spans="1:7" s="7" customFormat="1" x14ac:dyDescent="0.2">
      <c r="A41" s="35" t="s">
        <v>543</v>
      </c>
      <c r="B41" s="21">
        <f t="shared" ca="1" si="5"/>
        <v>45945</v>
      </c>
      <c r="C41" s="12">
        <v>17</v>
      </c>
      <c r="D41" s="21">
        <f t="shared" ca="1" si="4"/>
        <v>45962</v>
      </c>
      <c r="E41" s="12" t="s">
        <v>56</v>
      </c>
      <c r="F41" s="35"/>
      <c r="G41" s="47"/>
    </row>
    <row r="42" spans="1:7" s="7" customFormat="1" x14ac:dyDescent="0.2">
      <c r="A42" s="35" t="s">
        <v>405</v>
      </c>
      <c r="B42" s="21">
        <f t="shared" ref="B42:B44" ca="1" si="6">TODAY()</f>
        <v>45945</v>
      </c>
      <c r="C42" s="12">
        <v>17</v>
      </c>
      <c r="D42" s="21">
        <f t="shared" ca="1" si="4"/>
        <v>45962</v>
      </c>
      <c r="E42" s="12" t="s">
        <v>56</v>
      </c>
      <c r="F42" s="35"/>
      <c r="G42" s="47"/>
    </row>
    <row r="43" spans="1:7" s="7" customFormat="1" x14ac:dyDescent="0.2">
      <c r="A43" s="35" t="s">
        <v>529</v>
      </c>
      <c r="B43" s="21">
        <f t="shared" ca="1" si="6"/>
        <v>45945</v>
      </c>
      <c r="C43" s="12">
        <v>17</v>
      </c>
      <c r="D43" s="21">
        <f t="shared" ca="1" si="4"/>
        <v>45962</v>
      </c>
      <c r="E43" s="12" t="s">
        <v>56</v>
      </c>
      <c r="F43" s="35"/>
      <c r="G43" s="47"/>
    </row>
    <row r="44" spans="1:7" s="7" customFormat="1" x14ac:dyDescent="0.2">
      <c r="A44" s="35" t="s">
        <v>540</v>
      </c>
      <c r="B44" s="21">
        <f t="shared" ca="1" si="6"/>
        <v>45945</v>
      </c>
      <c r="C44" s="12">
        <v>17</v>
      </c>
      <c r="D44" s="21">
        <f t="shared" ca="1" si="4"/>
        <v>45962</v>
      </c>
      <c r="E44" s="12" t="s">
        <v>56</v>
      </c>
      <c r="F44" s="35"/>
      <c r="G44" s="47"/>
    </row>
    <row r="45" spans="1:7" s="7" customFormat="1" x14ac:dyDescent="0.2">
      <c r="A45" s="35" t="s">
        <v>534</v>
      </c>
      <c r="B45" s="21">
        <f ca="1">TODAY()</f>
        <v>45945</v>
      </c>
      <c r="C45" s="12">
        <v>17</v>
      </c>
      <c r="D45" s="21">
        <f t="shared" ca="1" si="4"/>
        <v>45962</v>
      </c>
      <c r="E45" s="12" t="s">
        <v>56</v>
      </c>
      <c r="F45" s="35"/>
      <c r="G45" s="47"/>
    </row>
    <row r="46" spans="1:7" s="7" customFormat="1" x14ac:dyDescent="0.2">
      <c r="A46" s="35" t="s">
        <v>544</v>
      </c>
      <c r="B46" s="21">
        <f ca="1">TODAY()</f>
        <v>45945</v>
      </c>
      <c r="C46" s="12">
        <v>17</v>
      </c>
      <c r="D46" s="21">
        <f t="shared" ca="1" si="4"/>
        <v>45962</v>
      </c>
      <c r="E46" s="12" t="s">
        <v>56</v>
      </c>
      <c r="F46" s="35"/>
      <c r="G46" s="47"/>
    </row>
    <row r="47" spans="1:7" s="92" customFormat="1" ht="15.75" x14ac:dyDescent="0.25">
      <c r="A47" s="96"/>
      <c r="B47" s="28"/>
      <c r="C47" s="8"/>
      <c r="D47" s="28"/>
      <c r="E47" s="8"/>
      <c r="G47" s="103"/>
    </row>
    <row r="48" spans="1:7" s="25" customFormat="1" ht="15.75" x14ac:dyDescent="0.25">
      <c r="A48" s="34" t="s">
        <v>438</v>
      </c>
      <c r="B48" s="26" t="s">
        <v>112</v>
      </c>
      <c r="C48" s="26" t="s">
        <v>11</v>
      </c>
      <c r="D48" s="26" t="s">
        <v>200</v>
      </c>
      <c r="E48" s="26" t="s">
        <v>6</v>
      </c>
      <c r="F48" s="26" t="s">
        <v>470</v>
      </c>
      <c r="G48" s="46" t="s">
        <v>467</v>
      </c>
    </row>
    <row r="49" spans="1:7" s="7" customFormat="1" x14ac:dyDescent="0.2">
      <c r="C49" s="8"/>
      <c r="D49" s="8"/>
      <c r="E49" s="8"/>
      <c r="F49" s="8"/>
      <c r="G49" s="8"/>
    </row>
    <row r="50" spans="1:7" s="25" customFormat="1" x14ac:dyDescent="0.2">
      <c r="A50" s="12"/>
      <c r="B50" s="21"/>
      <c r="C50" s="12"/>
      <c r="D50" s="21"/>
      <c r="E50" s="12"/>
      <c r="F50" s="35"/>
      <c r="G50" s="47"/>
    </row>
    <row r="51" spans="1:7" s="7" customFormat="1" ht="15.75" x14ac:dyDescent="0.25">
      <c r="A51" s="34" t="s">
        <v>14</v>
      </c>
      <c r="B51" s="26" t="s">
        <v>112</v>
      </c>
      <c r="C51" s="26" t="s">
        <v>11</v>
      </c>
      <c r="D51" s="26" t="s">
        <v>200</v>
      </c>
      <c r="E51" s="26" t="s">
        <v>6</v>
      </c>
      <c r="F51" s="26" t="s">
        <v>470</v>
      </c>
      <c r="G51" s="108" t="s">
        <v>496</v>
      </c>
    </row>
    <row r="52" spans="1:7" s="7" customFormat="1" x14ac:dyDescent="0.2">
      <c r="A52" s="12">
        <v>1</v>
      </c>
      <c r="B52" s="67">
        <f ca="1">TODAY()</f>
        <v>45945</v>
      </c>
      <c r="C52" s="12">
        <v>14</v>
      </c>
      <c r="D52" s="21">
        <f ca="1">SUM(B52+C52)</f>
        <v>45959</v>
      </c>
      <c r="E52" s="27" t="s">
        <v>55</v>
      </c>
      <c r="F52" s="27" t="s">
        <v>254</v>
      </c>
      <c r="G52" s="35" t="s">
        <v>199</v>
      </c>
    </row>
    <row r="53" spans="1:7" s="7" customFormat="1" x14ac:dyDescent="0.2">
      <c r="A53" s="12">
        <v>2</v>
      </c>
      <c r="B53" s="67">
        <f t="shared" ref="B53:B57" ca="1" si="7">TODAY()</f>
        <v>45945</v>
      </c>
      <c r="C53" s="12">
        <v>14</v>
      </c>
      <c r="D53" s="21">
        <f t="shared" ref="D53:D57" ca="1" si="8">SUM(B53+C53)</f>
        <v>45959</v>
      </c>
      <c r="E53" s="27" t="s">
        <v>55</v>
      </c>
      <c r="F53" s="27" t="s">
        <v>255</v>
      </c>
      <c r="G53" s="35" t="s">
        <v>205</v>
      </c>
    </row>
    <row r="54" spans="1:7" s="7" customFormat="1" x14ac:dyDescent="0.2">
      <c r="A54" s="12">
        <v>3</v>
      </c>
      <c r="B54" s="67">
        <f t="shared" ca="1" si="7"/>
        <v>45945</v>
      </c>
      <c r="C54" s="12">
        <v>14</v>
      </c>
      <c r="D54" s="21">
        <f t="shared" ca="1" si="8"/>
        <v>45959</v>
      </c>
      <c r="E54" s="27" t="s">
        <v>55</v>
      </c>
      <c r="F54" s="27" t="s">
        <v>256</v>
      </c>
      <c r="G54" s="35" t="s">
        <v>202</v>
      </c>
    </row>
    <row r="55" spans="1:7" s="7" customFormat="1" x14ac:dyDescent="0.2">
      <c r="A55" s="12">
        <v>4</v>
      </c>
      <c r="B55" s="67">
        <f t="shared" ca="1" si="7"/>
        <v>45945</v>
      </c>
      <c r="C55" s="12">
        <v>14</v>
      </c>
      <c r="D55" s="21">
        <f t="shared" ca="1" si="8"/>
        <v>45959</v>
      </c>
      <c r="E55" s="27" t="s">
        <v>55</v>
      </c>
      <c r="F55" s="27" t="s">
        <v>257</v>
      </c>
      <c r="G55" s="35" t="s">
        <v>201</v>
      </c>
    </row>
    <row r="56" spans="1:7" s="7" customFormat="1" x14ac:dyDescent="0.2">
      <c r="A56" s="12">
        <v>5</v>
      </c>
      <c r="B56" s="67">
        <f t="shared" ca="1" si="7"/>
        <v>45945</v>
      </c>
      <c r="C56" s="12">
        <v>14</v>
      </c>
      <c r="D56" s="21">
        <f t="shared" ca="1" si="8"/>
        <v>45959</v>
      </c>
      <c r="E56" s="27" t="s">
        <v>55</v>
      </c>
      <c r="F56" s="27" t="s">
        <v>258</v>
      </c>
      <c r="G56" s="35" t="s">
        <v>203</v>
      </c>
    </row>
    <row r="57" spans="1:7" s="7" customFormat="1" x14ac:dyDescent="0.2">
      <c r="A57" s="12">
        <v>6</v>
      </c>
      <c r="B57" s="84">
        <f t="shared" ca="1" si="7"/>
        <v>45945</v>
      </c>
      <c r="C57" s="12">
        <v>14</v>
      </c>
      <c r="D57" s="21">
        <f t="shared" ca="1" si="8"/>
        <v>45959</v>
      </c>
      <c r="E57" s="27" t="s">
        <v>55</v>
      </c>
      <c r="F57" s="27" t="s">
        <v>259</v>
      </c>
      <c r="G57" s="35" t="s">
        <v>206</v>
      </c>
    </row>
    <row r="58" spans="1:7" s="7" customFormat="1" x14ac:dyDescent="0.2">
      <c r="A58" s="83"/>
      <c r="B58" s="24"/>
      <c r="C58" s="8"/>
      <c r="D58" s="28"/>
      <c r="E58" s="82"/>
      <c r="F58" s="82"/>
      <c r="G58" s="8"/>
    </row>
    <row r="59" spans="1:7" s="7" customFormat="1" ht="15.75" x14ac:dyDescent="0.25">
      <c r="A59" s="34" t="s">
        <v>618</v>
      </c>
      <c r="B59" s="26" t="s">
        <v>112</v>
      </c>
      <c r="C59" s="26" t="s">
        <v>11</v>
      </c>
      <c r="D59" s="26" t="s">
        <v>200</v>
      </c>
      <c r="E59" s="26" t="s">
        <v>6</v>
      </c>
      <c r="F59" s="26" t="s">
        <v>470</v>
      </c>
      <c r="G59" s="46" t="s">
        <v>561</v>
      </c>
    </row>
    <row r="60" spans="1:7" s="7" customFormat="1" x14ac:dyDescent="0.2">
      <c r="A60" s="12" t="s">
        <v>559</v>
      </c>
      <c r="B60" s="21">
        <f t="shared" ref="B60:B61" ca="1" si="9">TODAY()</f>
        <v>45945</v>
      </c>
      <c r="C60" s="12">
        <v>14</v>
      </c>
      <c r="D60" s="21">
        <f t="shared" ref="D60" ca="1" si="10">SUM(B60+C60)</f>
        <v>45959</v>
      </c>
      <c r="E60" s="12" t="s">
        <v>56</v>
      </c>
      <c r="F60" s="35"/>
      <c r="G60" s="47"/>
    </row>
    <row r="61" spans="1:7" s="7" customFormat="1" x14ac:dyDescent="0.2">
      <c r="A61" s="12" t="s">
        <v>560</v>
      </c>
      <c r="B61" s="21">
        <f t="shared" ca="1" si="9"/>
        <v>45945</v>
      </c>
      <c r="C61" s="12">
        <v>14</v>
      </c>
      <c r="D61" s="21">
        <f t="shared" ref="D61" ca="1" si="11">SUM(B61+C61)</f>
        <v>45959</v>
      </c>
      <c r="E61" s="12" t="s">
        <v>56</v>
      </c>
      <c r="F61" s="35"/>
      <c r="G61" s="47"/>
    </row>
    <row r="62" spans="1:7" s="7" customFormat="1" x14ac:dyDescent="0.2">
      <c r="A62" s="12"/>
      <c r="B62" s="28"/>
      <c r="C62" s="8"/>
      <c r="D62" s="28"/>
      <c r="E62" s="8"/>
      <c r="F62" s="105"/>
      <c r="G62" s="44"/>
    </row>
    <row r="63" spans="1:7" s="7" customFormat="1" ht="18" x14ac:dyDescent="0.25">
      <c r="A63" s="260" t="s">
        <v>1</v>
      </c>
      <c r="B63" s="261"/>
      <c r="C63" s="261"/>
      <c r="D63" s="261"/>
      <c r="E63" s="261"/>
      <c r="F63" s="261"/>
      <c r="G63" s="261"/>
    </row>
    <row r="64" spans="1:7" s="7" customFormat="1" ht="15.75" x14ac:dyDescent="0.25">
      <c r="A64" s="34" t="s">
        <v>23</v>
      </c>
      <c r="B64" s="26" t="s">
        <v>112</v>
      </c>
      <c r="C64" s="26" t="s">
        <v>11</v>
      </c>
      <c r="D64" s="26" t="s">
        <v>200</v>
      </c>
      <c r="E64" s="26" t="s">
        <v>6</v>
      </c>
      <c r="F64" s="26"/>
      <c r="G64" s="46" t="s">
        <v>462</v>
      </c>
    </row>
    <row r="65" spans="1:7" s="7" customFormat="1" ht="15.75" x14ac:dyDescent="0.25">
      <c r="A65" s="43"/>
      <c r="B65" s="84">
        <f ca="1">TODAY()</f>
        <v>45945</v>
      </c>
      <c r="C65" s="72">
        <v>14</v>
      </c>
      <c r="D65" s="20">
        <f ca="1">SUM(B65+C65)</f>
        <v>45959</v>
      </c>
      <c r="E65" s="68" t="s">
        <v>56</v>
      </c>
      <c r="F65" s="68"/>
      <c r="G65" s="43" t="s">
        <v>40</v>
      </c>
    </row>
    <row r="66" spans="1:7" s="7" customFormat="1" x14ac:dyDescent="0.2">
      <c r="A66" s="12">
        <v>1</v>
      </c>
      <c r="B66" s="50"/>
      <c r="C66" s="23"/>
      <c r="D66" s="23"/>
      <c r="E66" s="27" t="s">
        <v>56</v>
      </c>
      <c r="F66" s="27"/>
      <c r="G66" s="7" t="s">
        <v>211</v>
      </c>
    </row>
    <row r="67" spans="1:7" s="7" customFormat="1" x14ac:dyDescent="0.2">
      <c r="A67" s="12">
        <v>2</v>
      </c>
      <c r="B67" s="50"/>
      <c r="C67" s="23"/>
      <c r="D67" s="23"/>
      <c r="E67" s="27" t="s">
        <v>56</v>
      </c>
      <c r="F67" s="27"/>
      <c r="G67" s="35" t="s">
        <v>212</v>
      </c>
    </row>
    <row r="68" spans="1:7" s="7" customFormat="1" x14ac:dyDescent="0.2">
      <c r="A68" s="12">
        <v>3</v>
      </c>
      <c r="B68" s="50"/>
      <c r="C68" s="23"/>
      <c r="D68" s="23"/>
      <c r="E68" s="27" t="s">
        <v>56</v>
      </c>
      <c r="F68" s="27"/>
      <c r="G68" s="35" t="s">
        <v>214</v>
      </c>
    </row>
    <row r="69" spans="1:7" s="7" customFormat="1" x14ac:dyDescent="0.2">
      <c r="A69" s="12">
        <v>4</v>
      </c>
      <c r="B69" s="50"/>
      <c r="C69" s="23"/>
      <c r="D69" s="23"/>
      <c r="E69" s="27" t="s">
        <v>56</v>
      </c>
      <c r="F69" s="27"/>
      <c r="G69" s="35" t="s">
        <v>213</v>
      </c>
    </row>
    <row r="70" spans="1:7" s="7" customFormat="1" x14ac:dyDescent="0.2">
      <c r="A70" s="12">
        <v>5</v>
      </c>
      <c r="B70" s="50"/>
      <c r="C70" s="23"/>
      <c r="D70" s="23"/>
      <c r="E70" s="27" t="s">
        <v>56</v>
      </c>
      <c r="F70" s="27"/>
      <c r="G70" s="35" t="s">
        <v>215</v>
      </c>
    </row>
    <row r="71" spans="1:7" s="7" customFormat="1" x14ac:dyDescent="0.2">
      <c r="A71" s="12">
        <v>6</v>
      </c>
      <c r="B71" s="50"/>
      <c r="C71" s="23"/>
      <c r="D71" s="23"/>
      <c r="E71" s="27" t="s">
        <v>56</v>
      </c>
      <c r="F71" s="27"/>
      <c r="G71" s="35" t="s">
        <v>216</v>
      </c>
    </row>
    <row r="72" spans="1:7" s="7" customFormat="1" x14ac:dyDescent="0.2">
      <c r="A72" s="12">
        <v>7</v>
      </c>
      <c r="B72" s="50"/>
      <c r="C72" s="23"/>
      <c r="D72" s="23"/>
      <c r="E72" s="27" t="s">
        <v>56</v>
      </c>
      <c r="F72" s="27"/>
      <c r="G72" s="35" t="s">
        <v>217</v>
      </c>
    </row>
    <row r="73" spans="1:7" s="7" customFormat="1" x14ac:dyDescent="0.2">
      <c r="A73" s="12">
        <v>8</v>
      </c>
      <c r="B73" s="50"/>
      <c r="C73" s="23"/>
      <c r="D73" s="23"/>
      <c r="E73" s="27" t="s">
        <v>56</v>
      </c>
      <c r="F73" s="27"/>
      <c r="G73" s="35" t="s">
        <v>218</v>
      </c>
    </row>
    <row r="74" spans="1:7" s="7" customFormat="1" x14ac:dyDescent="0.2">
      <c r="A74" s="12">
        <v>9</v>
      </c>
      <c r="B74" s="50"/>
      <c r="C74" s="23"/>
      <c r="D74" s="23"/>
      <c r="E74" s="27" t="s">
        <v>56</v>
      </c>
      <c r="F74" s="27"/>
      <c r="G74" s="35" t="s">
        <v>219</v>
      </c>
    </row>
    <row r="75" spans="1:7" s="7" customFormat="1" x14ac:dyDescent="0.2">
      <c r="A75" s="12">
        <v>10</v>
      </c>
      <c r="B75" s="50"/>
      <c r="C75" s="23"/>
      <c r="D75" s="23"/>
      <c r="E75" s="27" t="s">
        <v>56</v>
      </c>
      <c r="F75" s="27"/>
      <c r="G75" s="35" t="s">
        <v>220</v>
      </c>
    </row>
    <row r="76" spans="1:7" s="7" customFormat="1" x14ac:dyDescent="0.2">
      <c r="A76" s="12">
        <v>11</v>
      </c>
      <c r="B76" s="50"/>
      <c r="C76" s="23"/>
      <c r="D76" s="23"/>
      <c r="E76" s="27" t="s">
        <v>56</v>
      </c>
      <c r="F76" s="27"/>
      <c r="G76" s="35" t="s">
        <v>221</v>
      </c>
    </row>
    <row r="77" spans="1:7" s="7" customFormat="1" x14ac:dyDescent="0.2">
      <c r="A77" s="12">
        <v>12</v>
      </c>
      <c r="B77" s="50"/>
      <c r="C77" s="23"/>
      <c r="D77" s="23"/>
      <c r="E77" s="27" t="s">
        <v>56</v>
      </c>
      <c r="F77" s="27"/>
      <c r="G77" s="35" t="s">
        <v>222</v>
      </c>
    </row>
    <row r="78" spans="1:7" s="7" customFormat="1" x14ac:dyDescent="0.2">
      <c r="A78" s="12">
        <v>13</v>
      </c>
      <c r="B78" s="50"/>
      <c r="C78" s="23"/>
      <c r="D78" s="23"/>
      <c r="E78" s="27" t="s">
        <v>56</v>
      </c>
      <c r="F78" s="27"/>
      <c r="G78" s="35" t="s">
        <v>223</v>
      </c>
    </row>
    <row r="79" spans="1:7" s="25" customFormat="1" x14ac:dyDescent="0.2">
      <c r="D79" s="23"/>
      <c r="E79" s="23"/>
      <c r="F79" s="23"/>
      <c r="G79" s="23"/>
    </row>
    <row r="80" spans="1:7" s="25" customFormat="1" x14ac:dyDescent="0.2">
      <c r="C80" s="23"/>
      <c r="D80" s="23"/>
      <c r="E80" s="23"/>
      <c r="F80" s="23"/>
      <c r="G80" s="23"/>
    </row>
    <row r="81" spans="3:7" s="25" customFormat="1" x14ac:dyDescent="0.2">
      <c r="C81" s="23"/>
      <c r="D81" s="23"/>
      <c r="E81" s="23"/>
      <c r="F81" s="23"/>
      <c r="G81" s="23"/>
    </row>
    <row r="82" spans="3:7" s="25" customFormat="1" x14ac:dyDescent="0.2">
      <c r="C82" s="23"/>
      <c r="D82" s="23"/>
      <c r="E82" s="23"/>
      <c r="F82" s="23"/>
      <c r="G82" s="23"/>
    </row>
    <row r="83" spans="3:7" s="25" customFormat="1" x14ac:dyDescent="0.2">
      <c r="C83" s="23"/>
      <c r="D83" s="23"/>
      <c r="E83" s="23"/>
      <c r="F83" s="23"/>
      <c r="G83" s="23"/>
    </row>
    <row r="84" spans="3:7" s="25" customFormat="1" x14ac:dyDescent="0.2">
      <c r="C84" s="23"/>
      <c r="D84" s="23"/>
      <c r="E84" s="23"/>
      <c r="F84" s="23"/>
      <c r="G84" s="23"/>
    </row>
    <row r="85" spans="3:7" s="25" customFormat="1" x14ac:dyDescent="0.2">
      <c r="C85" s="23"/>
      <c r="D85" s="23"/>
      <c r="E85" s="23"/>
      <c r="F85" s="23"/>
      <c r="G85" s="23"/>
    </row>
    <row r="86" spans="3:7" s="25" customFormat="1" x14ac:dyDescent="0.2">
      <c r="C86" s="23"/>
      <c r="D86" s="23"/>
      <c r="E86" s="23"/>
      <c r="F86" s="23"/>
      <c r="G86" s="23"/>
    </row>
    <row r="87" spans="3:7" s="25" customFormat="1" x14ac:dyDescent="0.2">
      <c r="C87" s="23"/>
      <c r="D87" s="23"/>
      <c r="E87" s="23"/>
      <c r="F87" s="23"/>
      <c r="G87" s="23"/>
    </row>
    <row r="88" spans="3:7" s="25" customFormat="1" x14ac:dyDescent="0.2">
      <c r="C88" s="23"/>
      <c r="D88" s="23"/>
      <c r="E88" s="23"/>
      <c r="F88" s="23"/>
      <c r="G88" s="23"/>
    </row>
    <row r="89" spans="3:7" s="25" customFormat="1" x14ac:dyDescent="0.2">
      <c r="C89" s="23"/>
      <c r="D89" s="23"/>
      <c r="E89" s="23"/>
      <c r="F89" s="23"/>
      <c r="G89" s="23"/>
    </row>
    <row r="90" spans="3:7" s="25" customFormat="1" x14ac:dyDescent="0.2">
      <c r="C90" s="23"/>
      <c r="D90" s="23"/>
      <c r="E90" s="23"/>
      <c r="F90" s="23"/>
      <c r="G90" s="23"/>
    </row>
    <row r="91" spans="3:7" s="25" customFormat="1" x14ac:dyDescent="0.2">
      <c r="C91" s="23"/>
      <c r="D91" s="23"/>
      <c r="E91" s="23"/>
      <c r="F91" s="23"/>
      <c r="G91" s="23"/>
    </row>
    <row r="92" spans="3:7" s="25" customFormat="1" x14ac:dyDescent="0.2">
      <c r="C92" s="23"/>
      <c r="D92" s="23"/>
      <c r="E92" s="23"/>
      <c r="F92" s="23"/>
      <c r="G92" s="23"/>
    </row>
    <row r="93" spans="3:7" s="25" customFormat="1" x14ac:dyDescent="0.2">
      <c r="C93" s="23"/>
      <c r="D93" s="23"/>
      <c r="E93" s="23"/>
      <c r="F93" s="23"/>
      <c r="G93" s="23"/>
    </row>
    <row r="94" spans="3:7" s="25" customFormat="1" x14ac:dyDescent="0.2">
      <c r="C94" s="23"/>
      <c r="D94" s="23"/>
      <c r="E94" s="23"/>
      <c r="F94" s="23"/>
      <c r="G94" s="23"/>
    </row>
    <row r="95" spans="3:7" s="25" customFormat="1" x14ac:dyDescent="0.2">
      <c r="C95" s="23"/>
      <c r="D95" s="23"/>
      <c r="E95" s="23"/>
      <c r="F95" s="23"/>
      <c r="G95" s="23"/>
    </row>
    <row r="96" spans="3:7" s="25" customFormat="1" x14ac:dyDescent="0.2">
      <c r="C96" s="23"/>
      <c r="D96" s="23"/>
      <c r="E96" s="23"/>
      <c r="F96" s="23"/>
      <c r="G96" s="23"/>
    </row>
    <row r="97" spans="3:7" s="25" customFormat="1" x14ac:dyDescent="0.2">
      <c r="C97" s="23"/>
      <c r="D97" s="23"/>
      <c r="E97" s="23"/>
      <c r="F97" s="23"/>
      <c r="G97" s="23"/>
    </row>
    <row r="98" spans="3:7" s="25" customFormat="1" x14ac:dyDescent="0.2">
      <c r="C98" s="23"/>
      <c r="D98" s="23"/>
      <c r="E98" s="23"/>
      <c r="F98" s="23"/>
      <c r="G98" s="23"/>
    </row>
    <row r="99" spans="3:7" s="25" customFormat="1" x14ac:dyDescent="0.2">
      <c r="C99" s="23"/>
      <c r="D99" s="23"/>
      <c r="E99" s="23"/>
      <c r="F99" s="23"/>
      <c r="G99" s="23"/>
    </row>
    <row r="100" spans="3:7" s="25" customFormat="1" x14ac:dyDescent="0.2">
      <c r="C100" s="23"/>
      <c r="D100" s="23"/>
      <c r="E100" s="23"/>
      <c r="F100" s="23"/>
      <c r="G100" s="23"/>
    </row>
    <row r="101" spans="3:7" s="25" customFormat="1" x14ac:dyDescent="0.2">
      <c r="C101" s="23"/>
      <c r="D101" s="23"/>
      <c r="E101" s="23"/>
      <c r="F101" s="23"/>
      <c r="G101" s="23"/>
    </row>
    <row r="102" spans="3:7" s="25" customFormat="1" x14ac:dyDescent="0.2">
      <c r="C102" s="23"/>
      <c r="D102" s="23"/>
      <c r="E102" s="23"/>
      <c r="F102" s="23"/>
      <c r="G102" s="23"/>
    </row>
    <row r="103" spans="3:7" s="25" customFormat="1" x14ac:dyDescent="0.2">
      <c r="C103" s="23"/>
      <c r="D103" s="23"/>
      <c r="E103" s="23"/>
      <c r="F103" s="23"/>
      <c r="G103" s="23"/>
    </row>
    <row r="104" spans="3:7" s="25" customFormat="1" x14ac:dyDescent="0.2">
      <c r="C104" s="23"/>
      <c r="D104" s="23"/>
      <c r="E104" s="23"/>
      <c r="F104" s="23"/>
      <c r="G104" s="23"/>
    </row>
    <row r="105" spans="3:7" s="25" customFormat="1" x14ac:dyDescent="0.2">
      <c r="C105" s="23"/>
      <c r="D105" s="23"/>
      <c r="E105" s="23"/>
      <c r="F105" s="23"/>
      <c r="G105" s="23"/>
    </row>
    <row r="106" spans="3:7" s="25" customFormat="1" x14ac:dyDescent="0.2">
      <c r="C106" s="23"/>
      <c r="D106" s="23"/>
      <c r="E106" s="23"/>
      <c r="F106" s="23"/>
      <c r="G106" s="23"/>
    </row>
    <row r="107" spans="3:7" s="25" customFormat="1" x14ac:dyDescent="0.2">
      <c r="C107" s="23"/>
      <c r="D107" s="23"/>
      <c r="E107" s="23"/>
      <c r="F107" s="23"/>
      <c r="G107" s="23"/>
    </row>
    <row r="108" spans="3:7" s="25" customFormat="1" x14ac:dyDescent="0.2">
      <c r="C108" s="23"/>
      <c r="D108" s="23"/>
      <c r="E108" s="23"/>
      <c r="F108" s="23"/>
      <c r="G108" s="23"/>
    </row>
    <row r="109" spans="3:7" s="25" customFormat="1" x14ac:dyDescent="0.2">
      <c r="C109" s="23"/>
      <c r="D109" s="23"/>
      <c r="E109" s="23"/>
      <c r="F109" s="23"/>
      <c r="G109" s="23"/>
    </row>
    <row r="110" spans="3:7" s="25" customFormat="1" x14ac:dyDescent="0.2">
      <c r="C110" s="23"/>
      <c r="D110" s="23"/>
      <c r="E110" s="23"/>
      <c r="F110" s="23"/>
      <c r="G110" s="23"/>
    </row>
    <row r="111" spans="3:7" s="25" customFormat="1" x14ac:dyDescent="0.2">
      <c r="C111" s="23"/>
      <c r="D111" s="23"/>
      <c r="E111" s="23"/>
      <c r="F111" s="23"/>
      <c r="G111" s="23"/>
    </row>
    <row r="112" spans="3:7" s="25" customFormat="1" x14ac:dyDescent="0.2">
      <c r="C112" s="23"/>
      <c r="D112" s="23"/>
      <c r="E112" s="23"/>
      <c r="F112" s="23"/>
      <c r="G112" s="23"/>
    </row>
    <row r="113" spans="3:7" s="25" customFormat="1" x14ac:dyDescent="0.2">
      <c r="C113" s="23"/>
      <c r="D113" s="23"/>
      <c r="E113" s="23"/>
      <c r="F113" s="23"/>
      <c r="G113" s="23"/>
    </row>
    <row r="114" spans="3:7" s="25" customFormat="1" x14ac:dyDescent="0.2">
      <c r="C114" s="23"/>
      <c r="D114" s="23"/>
      <c r="E114" s="23"/>
      <c r="F114" s="23"/>
      <c r="G114" s="23"/>
    </row>
    <row r="115" spans="3:7" s="25" customFormat="1" x14ac:dyDescent="0.2">
      <c r="C115" s="23"/>
      <c r="D115" s="23"/>
      <c r="E115" s="23"/>
      <c r="F115" s="23"/>
      <c r="G115" s="23"/>
    </row>
    <row r="116" spans="3:7" s="25" customFormat="1" x14ac:dyDescent="0.2">
      <c r="C116" s="23"/>
      <c r="D116" s="23"/>
      <c r="E116" s="23"/>
      <c r="F116" s="23"/>
      <c r="G116" s="23"/>
    </row>
    <row r="117" spans="3:7" s="25" customFormat="1" x14ac:dyDescent="0.2">
      <c r="C117" s="23"/>
      <c r="D117" s="23"/>
      <c r="E117" s="23"/>
      <c r="F117" s="23"/>
      <c r="G117" s="23"/>
    </row>
    <row r="118" spans="3:7" s="25" customFormat="1" x14ac:dyDescent="0.2">
      <c r="C118" s="23"/>
      <c r="D118" s="23"/>
      <c r="E118" s="23"/>
      <c r="F118" s="23"/>
      <c r="G118" s="23"/>
    </row>
    <row r="119" spans="3:7" s="25" customFormat="1" x14ac:dyDescent="0.2">
      <c r="C119" s="23"/>
      <c r="D119" s="23"/>
      <c r="E119" s="23"/>
      <c r="F119" s="23"/>
      <c r="G119" s="23"/>
    </row>
    <row r="120" spans="3:7" s="25" customFormat="1" x14ac:dyDescent="0.2">
      <c r="C120" s="23"/>
      <c r="D120" s="23"/>
      <c r="E120" s="23"/>
      <c r="F120" s="23"/>
      <c r="G120" s="23"/>
    </row>
    <row r="121" spans="3:7" s="25" customFormat="1" x14ac:dyDescent="0.2">
      <c r="C121" s="23"/>
      <c r="D121" s="23"/>
      <c r="E121" s="23"/>
      <c r="F121" s="23"/>
      <c r="G121" s="23"/>
    </row>
    <row r="122" spans="3:7" s="25" customFormat="1" x14ac:dyDescent="0.2">
      <c r="C122" s="23"/>
      <c r="D122" s="23"/>
      <c r="E122" s="23"/>
      <c r="F122" s="23"/>
      <c r="G122" s="23"/>
    </row>
    <row r="123" spans="3:7" s="25" customFormat="1" x14ac:dyDescent="0.2">
      <c r="C123" s="23"/>
      <c r="D123" s="23"/>
      <c r="E123" s="23"/>
      <c r="F123" s="23"/>
      <c r="G123" s="23"/>
    </row>
    <row r="124" spans="3:7" s="25" customFormat="1" x14ac:dyDescent="0.2">
      <c r="C124" s="23"/>
      <c r="D124" s="23"/>
      <c r="E124" s="23"/>
      <c r="F124" s="23"/>
      <c r="G124" s="23"/>
    </row>
    <row r="125" spans="3:7" s="25" customFormat="1" x14ac:dyDescent="0.2">
      <c r="C125" s="23"/>
      <c r="D125" s="23"/>
      <c r="E125" s="23"/>
      <c r="F125" s="23"/>
      <c r="G125" s="23"/>
    </row>
    <row r="126" spans="3:7" s="25" customFormat="1" x14ac:dyDescent="0.2">
      <c r="C126" s="23"/>
      <c r="D126" s="23"/>
      <c r="E126" s="23"/>
      <c r="F126" s="23"/>
      <c r="G126" s="23"/>
    </row>
    <row r="127" spans="3:7" s="25" customFormat="1" x14ac:dyDescent="0.2">
      <c r="C127" s="23"/>
      <c r="D127" s="23"/>
      <c r="E127" s="23"/>
      <c r="F127" s="23"/>
      <c r="G127" s="23"/>
    </row>
    <row r="128" spans="3:7" s="25" customFormat="1" x14ac:dyDescent="0.2">
      <c r="C128" s="23"/>
      <c r="D128" s="23"/>
      <c r="E128" s="23"/>
      <c r="F128" s="23"/>
      <c r="G128" s="23"/>
    </row>
    <row r="129" spans="3:7" s="25" customFormat="1" x14ac:dyDescent="0.2">
      <c r="C129" s="23"/>
      <c r="D129" s="23"/>
      <c r="E129" s="23"/>
      <c r="F129" s="23"/>
      <c r="G129" s="23"/>
    </row>
    <row r="130" spans="3:7" s="25" customFormat="1" x14ac:dyDescent="0.2">
      <c r="C130" s="23"/>
      <c r="D130" s="23"/>
      <c r="E130" s="23"/>
      <c r="F130" s="23"/>
      <c r="G130" s="23"/>
    </row>
    <row r="131" spans="3:7" s="25" customFormat="1" x14ac:dyDescent="0.2">
      <c r="C131" s="23"/>
      <c r="D131" s="23"/>
      <c r="E131" s="23"/>
      <c r="F131" s="23"/>
      <c r="G131" s="23"/>
    </row>
    <row r="132" spans="3:7" s="25" customFormat="1" x14ac:dyDescent="0.2">
      <c r="C132" s="23"/>
      <c r="D132" s="23"/>
      <c r="E132" s="23"/>
      <c r="F132" s="23"/>
      <c r="G132" s="23"/>
    </row>
    <row r="133" spans="3:7" s="25" customFormat="1" x14ac:dyDescent="0.2">
      <c r="C133" s="23"/>
      <c r="D133" s="23"/>
      <c r="E133" s="23"/>
      <c r="F133" s="23"/>
      <c r="G133" s="23"/>
    </row>
    <row r="134" spans="3:7" s="25" customFormat="1" x14ac:dyDescent="0.2">
      <c r="C134" s="23"/>
      <c r="D134" s="23"/>
      <c r="E134" s="23"/>
      <c r="F134" s="23"/>
      <c r="G134" s="23"/>
    </row>
    <row r="135" spans="3:7" s="25" customFormat="1" x14ac:dyDescent="0.2">
      <c r="C135" s="23"/>
      <c r="D135" s="23"/>
      <c r="E135" s="23"/>
      <c r="F135" s="23"/>
      <c r="G135" s="23"/>
    </row>
    <row r="136" spans="3:7" s="25" customFormat="1" x14ac:dyDescent="0.2">
      <c r="C136" s="23"/>
      <c r="D136" s="23"/>
      <c r="E136" s="23"/>
      <c r="F136" s="23"/>
      <c r="G136" s="23"/>
    </row>
    <row r="137" spans="3:7" s="25" customFormat="1" x14ac:dyDescent="0.2">
      <c r="C137" s="23"/>
      <c r="D137" s="23"/>
      <c r="E137" s="23"/>
      <c r="F137" s="23"/>
      <c r="G137" s="23"/>
    </row>
    <row r="138" spans="3:7" s="25" customFormat="1" x14ac:dyDescent="0.2">
      <c r="C138" s="23"/>
      <c r="D138" s="23"/>
      <c r="E138" s="23"/>
      <c r="F138" s="23"/>
      <c r="G138" s="23"/>
    </row>
    <row r="139" spans="3:7" s="25" customFormat="1" x14ac:dyDescent="0.2">
      <c r="C139" s="23"/>
      <c r="D139" s="23"/>
      <c r="E139" s="23"/>
      <c r="F139" s="23"/>
      <c r="G139" s="23"/>
    </row>
    <row r="140" spans="3:7" s="25" customFormat="1" x14ac:dyDescent="0.2">
      <c r="C140" s="23"/>
      <c r="D140" s="23"/>
      <c r="E140" s="23"/>
      <c r="F140" s="23"/>
      <c r="G140" s="23"/>
    </row>
    <row r="141" spans="3:7" s="25" customFormat="1" x14ac:dyDescent="0.2">
      <c r="C141" s="23"/>
      <c r="D141" s="23"/>
      <c r="E141" s="23"/>
      <c r="F141" s="23"/>
      <c r="G141" s="23"/>
    </row>
    <row r="142" spans="3:7" s="25" customFormat="1" x14ac:dyDescent="0.2">
      <c r="C142" s="23"/>
      <c r="D142" s="23"/>
      <c r="E142" s="23"/>
      <c r="F142" s="23"/>
      <c r="G142" s="23"/>
    </row>
    <row r="143" spans="3:7" s="25" customFormat="1" x14ac:dyDescent="0.2">
      <c r="C143" s="23"/>
      <c r="D143" s="23"/>
      <c r="E143" s="23"/>
      <c r="F143" s="23"/>
      <c r="G143" s="23"/>
    </row>
    <row r="144" spans="3:7" s="25" customFormat="1" x14ac:dyDescent="0.2">
      <c r="C144" s="23"/>
      <c r="D144" s="23"/>
      <c r="E144" s="23"/>
      <c r="F144" s="23"/>
      <c r="G144" s="23"/>
    </row>
    <row r="145" spans="3:7" s="25" customFormat="1" x14ac:dyDescent="0.2">
      <c r="C145" s="23"/>
      <c r="D145" s="23"/>
      <c r="E145" s="23"/>
      <c r="F145" s="23"/>
      <c r="G145" s="23"/>
    </row>
    <row r="146" spans="3:7" s="25" customFormat="1" x14ac:dyDescent="0.2">
      <c r="C146" s="23"/>
      <c r="D146" s="23"/>
      <c r="E146" s="23"/>
      <c r="F146" s="23"/>
      <c r="G146" s="23"/>
    </row>
    <row r="147" spans="3:7" s="25" customFormat="1" x14ac:dyDescent="0.2">
      <c r="C147" s="23"/>
      <c r="D147" s="23"/>
      <c r="E147" s="23"/>
      <c r="F147" s="23"/>
      <c r="G147" s="23"/>
    </row>
    <row r="148" spans="3:7" s="25" customFormat="1" x14ac:dyDescent="0.2">
      <c r="C148" s="23"/>
      <c r="D148" s="23"/>
      <c r="E148" s="23"/>
      <c r="F148" s="23"/>
      <c r="G148" s="23"/>
    </row>
    <row r="149" spans="3:7" s="25" customFormat="1" x14ac:dyDescent="0.2">
      <c r="C149" s="23"/>
      <c r="D149" s="23"/>
      <c r="E149" s="23"/>
      <c r="F149" s="23"/>
      <c r="G149" s="23"/>
    </row>
    <row r="150" spans="3:7" s="25" customFormat="1" x14ac:dyDescent="0.2">
      <c r="C150" s="23"/>
      <c r="D150" s="23"/>
      <c r="E150" s="23"/>
      <c r="F150" s="23"/>
      <c r="G150" s="23"/>
    </row>
    <row r="151" spans="3:7" s="25" customFormat="1" x14ac:dyDescent="0.2">
      <c r="C151" s="23"/>
      <c r="D151" s="23"/>
      <c r="E151" s="23"/>
      <c r="F151" s="23"/>
      <c r="G151" s="23"/>
    </row>
    <row r="152" spans="3:7" s="25" customFormat="1" x14ac:dyDescent="0.2">
      <c r="C152" s="23"/>
      <c r="D152" s="23"/>
      <c r="E152" s="23"/>
      <c r="F152" s="23"/>
      <c r="G152" s="23"/>
    </row>
    <row r="153" spans="3:7" s="25" customFormat="1" x14ac:dyDescent="0.2">
      <c r="C153" s="23"/>
      <c r="D153" s="23"/>
      <c r="E153" s="23"/>
      <c r="F153" s="23"/>
      <c r="G153" s="23"/>
    </row>
    <row r="154" spans="3:7" s="25" customFormat="1" x14ac:dyDescent="0.2">
      <c r="C154" s="23"/>
      <c r="D154" s="23"/>
      <c r="E154" s="23"/>
      <c r="F154" s="23"/>
      <c r="G154" s="23"/>
    </row>
    <row r="155" spans="3:7" s="25" customFormat="1" x14ac:dyDescent="0.2">
      <c r="C155" s="23"/>
      <c r="D155" s="23"/>
      <c r="E155" s="23"/>
      <c r="F155" s="23"/>
      <c r="G155" s="23"/>
    </row>
    <row r="156" spans="3:7" s="25" customFormat="1" x14ac:dyDescent="0.2">
      <c r="C156" s="23"/>
      <c r="D156" s="23"/>
      <c r="E156" s="23"/>
      <c r="F156" s="23"/>
      <c r="G156" s="23"/>
    </row>
    <row r="157" spans="3:7" s="25" customFormat="1" x14ac:dyDescent="0.2">
      <c r="C157" s="23"/>
      <c r="D157" s="23"/>
      <c r="E157" s="23"/>
      <c r="F157" s="23"/>
      <c r="G157" s="23"/>
    </row>
    <row r="158" spans="3:7" s="25" customFormat="1" x14ac:dyDescent="0.2">
      <c r="C158" s="23"/>
      <c r="D158" s="23"/>
      <c r="E158" s="23"/>
      <c r="F158" s="23"/>
      <c r="G158" s="23"/>
    </row>
    <row r="159" spans="3:7" s="25" customFormat="1" x14ac:dyDescent="0.2">
      <c r="C159" s="23"/>
      <c r="D159" s="23"/>
      <c r="E159" s="23"/>
      <c r="F159" s="23"/>
      <c r="G159" s="23"/>
    </row>
    <row r="160" spans="3:7" s="25" customFormat="1" x14ac:dyDescent="0.2">
      <c r="C160" s="23"/>
      <c r="D160" s="23"/>
      <c r="E160" s="23"/>
      <c r="F160" s="23"/>
      <c r="G160" s="23"/>
    </row>
    <row r="161" spans="3:7" s="25" customFormat="1" x14ac:dyDescent="0.2">
      <c r="C161" s="23"/>
      <c r="D161" s="23"/>
      <c r="E161" s="23"/>
      <c r="F161" s="23"/>
      <c r="G161" s="23"/>
    </row>
    <row r="162" spans="3:7" s="25" customFormat="1" x14ac:dyDescent="0.2">
      <c r="C162" s="23"/>
      <c r="D162" s="23"/>
      <c r="E162" s="23"/>
      <c r="F162" s="23"/>
      <c r="G162" s="23"/>
    </row>
    <row r="163" spans="3:7" s="25" customFormat="1" x14ac:dyDescent="0.2">
      <c r="C163" s="23"/>
      <c r="D163" s="23"/>
      <c r="E163" s="23"/>
      <c r="F163" s="23"/>
      <c r="G163" s="23"/>
    </row>
    <row r="164" spans="3:7" s="25" customFormat="1" x14ac:dyDescent="0.2">
      <c r="C164" s="23"/>
      <c r="D164" s="23"/>
      <c r="E164" s="23"/>
      <c r="F164" s="23"/>
      <c r="G164" s="23"/>
    </row>
    <row r="165" spans="3:7" s="25" customFormat="1" x14ac:dyDescent="0.2">
      <c r="C165" s="23"/>
      <c r="D165" s="23"/>
      <c r="E165" s="23"/>
      <c r="F165" s="23"/>
      <c r="G165" s="23"/>
    </row>
    <row r="166" spans="3:7" s="25" customFormat="1" x14ac:dyDescent="0.2">
      <c r="C166" s="23"/>
      <c r="D166" s="23"/>
      <c r="E166" s="23"/>
      <c r="F166" s="23"/>
      <c r="G166" s="23"/>
    </row>
    <row r="167" spans="3:7" s="25" customFormat="1" x14ac:dyDescent="0.2">
      <c r="C167" s="23"/>
      <c r="D167" s="23"/>
      <c r="E167" s="23"/>
      <c r="F167" s="23"/>
      <c r="G167" s="23"/>
    </row>
    <row r="168" spans="3:7" s="25" customFormat="1" x14ac:dyDescent="0.2">
      <c r="C168" s="23"/>
      <c r="D168" s="23"/>
      <c r="E168" s="23"/>
      <c r="F168" s="23"/>
      <c r="G168" s="23"/>
    </row>
    <row r="169" spans="3:7" s="25" customFormat="1" x14ac:dyDescent="0.2">
      <c r="C169" s="23"/>
      <c r="D169" s="23"/>
      <c r="E169" s="23"/>
      <c r="F169" s="23"/>
      <c r="G169" s="23"/>
    </row>
    <row r="170" spans="3:7" s="25" customFormat="1" x14ac:dyDescent="0.2">
      <c r="C170" s="23"/>
      <c r="D170" s="23"/>
      <c r="E170" s="23"/>
      <c r="F170" s="23"/>
      <c r="G170" s="23"/>
    </row>
    <row r="171" spans="3:7" s="25" customFormat="1" x14ac:dyDescent="0.2">
      <c r="C171" s="23"/>
      <c r="D171" s="23"/>
      <c r="E171" s="23"/>
      <c r="F171" s="23"/>
      <c r="G171" s="23"/>
    </row>
    <row r="172" spans="3:7" s="25" customFormat="1" x14ac:dyDescent="0.2">
      <c r="C172" s="23"/>
      <c r="D172" s="23"/>
      <c r="E172" s="23"/>
      <c r="F172" s="23"/>
      <c r="G172" s="23"/>
    </row>
    <row r="173" spans="3:7" s="25" customFormat="1" x14ac:dyDescent="0.2">
      <c r="C173" s="23"/>
      <c r="D173" s="23"/>
      <c r="E173" s="23"/>
      <c r="F173" s="23"/>
      <c r="G173" s="23"/>
    </row>
    <row r="174" spans="3:7" s="25" customFormat="1" x14ac:dyDescent="0.2">
      <c r="C174" s="23"/>
      <c r="D174" s="23"/>
      <c r="E174" s="23"/>
      <c r="F174" s="23"/>
      <c r="G174" s="23"/>
    </row>
    <row r="175" spans="3:7" s="25" customFormat="1" x14ac:dyDescent="0.2">
      <c r="C175" s="23"/>
      <c r="D175" s="23"/>
      <c r="E175" s="23"/>
      <c r="F175" s="23"/>
      <c r="G175" s="23"/>
    </row>
    <row r="176" spans="3:7" s="25" customFormat="1" x14ac:dyDescent="0.2">
      <c r="C176" s="23"/>
      <c r="D176" s="23"/>
      <c r="E176" s="23"/>
      <c r="F176" s="23"/>
      <c r="G176" s="23"/>
    </row>
    <row r="177" spans="3:7" s="25" customFormat="1" x14ac:dyDescent="0.2">
      <c r="C177" s="23"/>
      <c r="D177" s="23"/>
      <c r="E177" s="23"/>
      <c r="F177" s="23"/>
      <c r="G177" s="23"/>
    </row>
    <row r="178" spans="3:7" s="25" customFormat="1" x14ac:dyDescent="0.2">
      <c r="C178" s="23"/>
      <c r="D178" s="23"/>
      <c r="E178" s="23"/>
      <c r="F178" s="23"/>
      <c r="G178" s="23"/>
    </row>
    <row r="179" spans="3:7" s="25" customFormat="1" x14ac:dyDescent="0.2">
      <c r="C179" s="23"/>
      <c r="D179" s="23"/>
      <c r="E179" s="23"/>
      <c r="F179" s="23"/>
      <c r="G179" s="23"/>
    </row>
    <row r="180" spans="3:7" s="25" customFormat="1" x14ac:dyDescent="0.2">
      <c r="C180" s="23"/>
      <c r="D180" s="23"/>
      <c r="E180" s="23"/>
      <c r="F180" s="23"/>
      <c r="G180" s="23"/>
    </row>
    <row r="181" spans="3:7" s="25" customFormat="1" x14ac:dyDescent="0.2">
      <c r="C181" s="23"/>
      <c r="D181" s="23"/>
      <c r="E181" s="23"/>
      <c r="F181" s="23"/>
      <c r="G181" s="23"/>
    </row>
    <row r="182" spans="3:7" s="25" customFormat="1" x14ac:dyDescent="0.2">
      <c r="C182" s="23"/>
      <c r="D182" s="23"/>
      <c r="E182" s="23"/>
      <c r="F182" s="23"/>
      <c r="G182" s="23"/>
    </row>
    <row r="183" spans="3:7" s="25" customFormat="1" x14ac:dyDescent="0.2">
      <c r="C183" s="23"/>
      <c r="D183" s="23"/>
      <c r="E183" s="23"/>
      <c r="F183" s="23"/>
      <c r="G183" s="23"/>
    </row>
    <row r="184" spans="3:7" s="25" customFormat="1" x14ac:dyDescent="0.2">
      <c r="C184" s="23"/>
      <c r="D184" s="23"/>
      <c r="E184" s="23"/>
      <c r="F184" s="23"/>
      <c r="G184" s="23"/>
    </row>
    <row r="185" spans="3:7" s="25" customFormat="1" x14ac:dyDescent="0.2">
      <c r="C185" s="23"/>
      <c r="D185" s="23"/>
      <c r="E185" s="23"/>
      <c r="F185" s="23"/>
      <c r="G185" s="23"/>
    </row>
    <row r="186" spans="3:7" s="25" customFormat="1" x14ac:dyDescent="0.2">
      <c r="C186" s="23"/>
      <c r="D186" s="23"/>
      <c r="E186" s="23"/>
      <c r="F186" s="23"/>
      <c r="G186" s="23"/>
    </row>
    <row r="187" spans="3:7" s="25" customFormat="1" x14ac:dyDescent="0.2">
      <c r="C187" s="23"/>
      <c r="D187" s="23"/>
      <c r="E187" s="23"/>
      <c r="F187" s="23"/>
      <c r="G187" s="23"/>
    </row>
    <row r="188" spans="3:7" s="25" customFormat="1" x14ac:dyDescent="0.2">
      <c r="C188" s="23"/>
      <c r="D188" s="23"/>
      <c r="E188" s="23"/>
      <c r="F188" s="23"/>
      <c r="G188" s="23"/>
    </row>
    <row r="189" spans="3:7" s="25" customFormat="1" x14ac:dyDescent="0.2">
      <c r="C189" s="23"/>
      <c r="D189" s="23"/>
      <c r="E189" s="23"/>
      <c r="F189" s="23"/>
      <c r="G189" s="23"/>
    </row>
    <row r="190" spans="3:7" s="25" customFormat="1" x14ac:dyDescent="0.2">
      <c r="C190" s="23"/>
      <c r="D190" s="23"/>
      <c r="E190" s="23"/>
      <c r="F190" s="23"/>
      <c r="G190" s="23"/>
    </row>
    <row r="191" spans="3:7" s="25" customFormat="1" x14ac:dyDescent="0.2">
      <c r="C191" s="23"/>
      <c r="D191" s="23"/>
      <c r="E191" s="23"/>
      <c r="F191" s="23"/>
      <c r="G191" s="23"/>
    </row>
    <row r="192" spans="3:7" s="25" customFormat="1" x14ac:dyDescent="0.2">
      <c r="C192" s="23"/>
      <c r="D192" s="23"/>
      <c r="E192" s="23"/>
      <c r="F192" s="23"/>
      <c r="G192" s="23"/>
    </row>
    <row r="193" spans="3:7" s="25" customFormat="1" x14ac:dyDescent="0.2">
      <c r="C193" s="23"/>
      <c r="D193" s="23"/>
      <c r="E193" s="23"/>
      <c r="F193" s="23"/>
      <c r="G193" s="23"/>
    </row>
    <row r="194" spans="3:7" s="25" customFormat="1" x14ac:dyDescent="0.2">
      <c r="C194" s="23"/>
      <c r="D194" s="23"/>
      <c r="E194" s="23"/>
      <c r="F194" s="23"/>
      <c r="G194" s="23"/>
    </row>
    <row r="195" spans="3:7" s="25" customFormat="1" x14ac:dyDescent="0.2">
      <c r="C195" s="23"/>
      <c r="D195" s="23"/>
      <c r="E195" s="23"/>
      <c r="F195" s="23"/>
      <c r="G195" s="23"/>
    </row>
    <row r="196" spans="3:7" s="25" customFormat="1" x14ac:dyDescent="0.2">
      <c r="C196" s="23"/>
      <c r="D196" s="23"/>
      <c r="E196" s="23"/>
      <c r="F196" s="23"/>
      <c r="G196" s="23"/>
    </row>
    <row r="197" spans="3:7" s="25" customFormat="1" x14ac:dyDescent="0.2">
      <c r="C197" s="23"/>
      <c r="D197" s="23"/>
      <c r="E197" s="23"/>
      <c r="F197" s="23"/>
      <c r="G197" s="23"/>
    </row>
    <row r="198" spans="3:7" s="25" customFormat="1" x14ac:dyDescent="0.2">
      <c r="C198" s="23"/>
      <c r="D198" s="23"/>
      <c r="E198" s="23"/>
      <c r="F198" s="23"/>
      <c r="G198" s="23"/>
    </row>
    <row r="199" spans="3:7" s="25" customFormat="1" x14ac:dyDescent="0.2">
      <c r="C199" s="23"/>
      <c r="D199" s="23"/>
      <c r="E199" s="23"/>
      <c r="F199" s="23"/>
      <c r="G199" s="23"/>
    </row>
    <row r="200" spans="3:7" s="25" customFormat="1" x14ac:dyDescent="0.2">
      <c r="C200" s="23"/>
      <c r="D200" s="23"/>
      <c r="E200" s="23"/>
      <c r="F200" s="23"/>
      <c r="G200" s="23"/>
    </row>
    <row r="201" spans="3:7" s="25" customFormat="1" x14ac:dyDescent="0.2">
      <c r="C201" s="23"/>
      <c r="D201" s="23"/>
      <c r="E201" s="23"/>
      <c r="F201" s="23"/>
      <c r="G201" s="23"/>
    </row>
    <row r="202" spans="3:7" s="25" customFormat="1" x14ac:dyDescent="0.2">
      <c r="C202" s="23"/>
      <c r="D202" s="23"/>
      <c r="E202" s="23"/>
      <c r="F202" s="23"/>
      <c r="G202" s="23"/>
    </row>
    <row r="203" spans="3:7" s="25" customFormat="1" x14ac:dyDescent="0.2">
      <c r="C203" s="23"/>
      <c r="D203" s="23"/>
      <c r="E203" s="23"/>
      <c r="F203" s="23"/>
      <c r="G203" s="23"/>
    </row>
    <row r="204" spans="3:7" s="25" customFormat="1" x14ac:dyDescent="0.2">
      <c r="C204" s="23"/>
      <c r="D204" s="23"/>
      <c r="E204" s="23"/>
      <c r="F204" s="23"/>
      <c r="G204" s="23"/>
    </row>
    <row r="205" spans="3:7" s="25" customFormat="1" x14ac:dyDescent="0.2">
      <c r="C205" s="23"/>
      <c r="D205" s="23"/>
      <c r="E205" s="23"/>
      <c r="F205" s="23"/>
      <c r="G205" s="23"/>
    </row>
    <row r="206" spans="3:7" s="25" customFormat="1" x14ac:dyDescent="0.2">
      <c r="C206" s="23"/>
      <c r="D206" s="23"/>
      <c r="E206" s="23"/>
      <c r="F206" s="23"/>
      <c r="G206" s="23"/>
    </row>
    <row r="207" spans="3:7" s="25" customFormat="1" x14ac:dyDescent="0.2">
      <c r="C207" s="23"/>
      <c r="D207" s="23"/>
      <c r="E207" s="23"/>
      <c r="F207" s="23"/>
      <c r="G207" s="23"/>
    </row>
    <row r="208" spans="3:7" s="25" customFormat="1" x14ac:dyDescent="0.2">
      <c r="C208" s="23"/>
      <c r="D208" s="23"/>
      <c r="E208" s="23"/>
      <c r="F208" s="23"/>
      <c r="G208" s="23"/>
    </row>
    <row r="209" spans="3:7" s="25" customFormat="1" x14ac:dyDescent="0.2">
      <c r="C209" s="23"/>
      <c r="D209" s="23"/>
      <c r="E209" s="23"/>
      <c r="F209" s="23"/>
      <c r="G209" s="23"/>
    </row>
    <row r="210" spans="3:7" s="25" customFormat="1" x14ac:dyDescent="0.2">
      <c r="C210" s="23"/>
      <c r="D210" s="23"/>
      <c r="E210" s="23"/>
      <c r="F210" s="23"/>
      <c r="G210" s="23"/>
    </row>
    <row r="211" spans="3:7" s="25" customFormat="1" x14ac:dyDescent="0.2">
      <c r="C211" s="23"/>
      <c r="D211" s="23"/>
      <c r="E211" s="23"/>
      <c r="F211" s="23"/>
      <c r="G211" s="23"/>
    </row>
    <row r="212" spans="3:7" s="25" customFormat="1" x14ac:dyDescent="0.2">
      <c r="C212" s="23"/>
      <c r="D212" s="23"/>
      <c r="E212" s="23"/>
      <c r="F212" s="23"/>
      <c r="G212" s="23"/>
    </row>
    <row r="213" spans="3:7" s="25" customFormat="1" x14ac:dyDescent="0.2">
      <c r="C213" s="23"/>
      <c r="D213" s="23"/>
      <c r="E213" s="23"/>
      <c r="F213" s="23"/>
      <c r="G213" s="23"/>
    </row>
    <row r="214" spans="3:7" s="25" customFormat="1" x14ac:dyDescent="0.2">
      <c r="C214" s="23"/>
      <c r="D214" s="23"/>
      <c r="E214" s="23"/>
      <c r="F214" s="23"/>
      <c r="G214" s="23"/>
    </row>
    <row r="215" spans="3:7" s="25" customFormat="1" x14ac:dyDescent="0.2">
      <c r="C215" s="23"/>
      <c r="D215" s="23"/>
      <c r="E215" s="23"/>
      <c r="F215" s="23"/>
      <c r="G215" s="23"/>
    </row>
    <row r="216" spans="3:7" s="25" customFormat="1" x14ac:dyDescent="0.2">
      <c r="C216" s="23"/>
      <c r="D216" s="23"/>
      <c r="E216" s="23"/>
      <c r="F216" s="23"/>
      <c r="G216" s="23"/>
    </row>
    <row r="217" spans="3:7" s="25" customFormat="1" x14ac:dyDescent="0.2">
      <c r="C217" s="23"/>
      <c r="D217" s="23"/>
      <c r="E217" s="23"/>
      <c r="F217" s="23"/>
      <c r="G217" s="23"/>
    </row>
    <row r="218" spans="3:7" s="25" customFormat="1" x14ac:dyDescent="0.2">
      <c r="C218" s="23"/>
      <c r="D218" s="23"/>
      <c r="E218" s="23"/>
      <c r="F218" s="23"/>
      <c r="G218" s="23"/>
    </row>
    <row r="219" spans="3:7" s="25" customFormat="1" x14ac:dyDescent="0.2">
      <c r="C219" s="23"/>
      <c r="D219" s="23"/>
      <c r="E219" s="23"/>
      <c r="F219" s="23"/>
      <c r="G219" s="23"/>
    </row>
    <row r="220" spans="3:7" s="25" customFormat="1" x14ac:dyDescent="0.2">
      <c r="C220" s="23"/>
      <c r="D220" s="23"/>
      <c r="E220" s="23"/>
      <c r="F220" s="23"/>
      <c r="G220" s="23"/>
    </row>
    <row r="221" spans="3:7" s="25" customFormat="1" x14ac:dyDescent="0.2">
      <c r="C221" s="23"/>
      <c r="D221" s="23"/>
      <c r="E221" s="23"/>
      <c r="F221" s="23"/>
      <c r="G221" s="23"/>
    </row>
    <row r="222" spans="3:7" s="25" customFormat="1" x14ac:dyDescent="0.2">
      <c r="C222" s="23"/>
      <c r="D222" s="23"/>
      <c r="E222" s="23"/>
      <c r="F222" s="23"/>
      <c r="G222" s="23"/>
    </row>
    <row r="223" spans="3:7" s="25" customFormat="1" x14ac:dyDescent="0.2">
      <c r="C223" s="23"/>
      <c r="D223" s="23"/>
      <c r="E223" s="23"/>
      <c r="F223" s="23"/>
      <c r="G223" s="23"/>
    </row>
    <row r="224" spans="3:7" s="25" customFormat="1" x14ac:dyDescent="0.2">
      <c r="C224" s="23"/>
      <c r="D224" s="23"/>
      <c r="E224" s="23"/>
      <c r="F224" s="23"/>
      <c r="G224" s="23"/>
    </row>
    <row r="225" spans="3:7" s="25" customFormat="1" x14ac:dyDescent="0.2">
      <c r="C225" s="23"/>
      <c r="D225" s="23"/>
      <c r="E225" s="23"/>
      <c r="F225" s="23"/>
      <c r="G225" s="23"/>
    </row>
    <row r="226" spans="3:7" s="25" customFormat="1" x14ac:dyDescent="0.2">
      <c r="C226" s="23"/>
      <c r="D226" s="23"/>
      <c r="E226" s="23"/>
      <c r="F226" s="23"/>
      <c r="G226" s="23"/>
    </row>
    <row r="227" spans="3:7" s="25" customFormat="1" x14ac:dyDescent="0.2">
      <c r="C227" s="23"/>
      <c r="D227" s="23"/>
      <c r="E227" s="23"/>
      <c r="F227" s="23"/>
      <c r="G227" s="23"/>
    </row>
    <row r="228" spans="3:7" s="25" customFormat="1" x14ac:dyDescent="0.2">
      <c r="C228" s="23"/>
      <c r="D228" s="23"/>
      <c r="E228" s="23"/>
      <c r="F228" s="23"/>
      <c r="G228" s="23"/>
    </row>
    <row r="229" spans="3:7" s="25" customFormat="1" x14ac:dyDescent="0.2">
      <c r="C229" s="23"/>
      <c r="D229" s="23"/>
      <c r="E229" s="23"/>
      <c r="F229" s="23"/>
      <c r="G229" s="23"/>
    </row>
    <row r="230" spans="3:7" s="25" customFormat="1" x14ac:dyDescent="0.2">
      <c r="C230" s="23"/>
      <c r="D230" s="23"/>
      <c r="E230" s="23"/>
      <c r="F230" s="23"/>
      <c r="G230" s="23"/>
    </row>
    <row r="231" spans="3:7" s="25" customFormat="1" x14ac:dyDescent="0.2">
      <c r="C231" s="23"/>
      <c r="D231" s="23"/>
      <c r="E231" s="23"/>
      <c r="F231" s="23"/>
      <c r="G231" s="23"/>
    </row>
    <row r="232" spans="3:7" s="25" customFormat="1" x14ac:dyDescent="0.2">
      <c r="C232" s="23"/>
      <c r="D232" s="23"/>
      <c r="E232" s="23"/>
      <c r="F232" s="23"/>
      <c r="G232" s="23"/>
    </row>
    <row r="233" spans="3:7" s="25" customFormat="1" x14ac:dyDescent="0.2">
      <c r="C233" s="23"/>
      <c r="D233" s="23"/>
      <c r="E233" s="23"/>
      <c r="F233" s="23"/>
      <c r="G233" s="23"/>
    </row>
    <row r="234" spans="3:7" s="25" customFormat="1" x14ac:dyDescent="0.2">
      <c r="C234" s="23"/>
      <c r="D234" s="23"/>
      <c r="E234" s="23"/>
      <c r="F234" s="23"/>
      <c r="G234" s="23"/>
    </row>
    <row r="235" spans="3:7" s="25" customFormat="1" x14ac:dyDescent="0.2">
      <c r="C235" s="23"/>
      <c r="D235" s="23"/>
      <c r="E235" s="23"/>
      <c r="F235" s="23"/>
      <c r="G235" s="23"/>
    </row>
    <row r="236" spans="3:7" s="25" customFormat="1" x14ac:dyDescent="0.2">
      <c r="C236" s="23"/>
      <c r="D236" s="23"/>
      <c r="E236" s="23"/>
      <c r="F236" s="23"/>
      <c r="G236" s="23"/>
    </row>
    <row r="237" spans="3:7" s="25" customFormat="1" x14ac:dyDescent="0.2">
      <c r="C237" s="23"/>
      <c r="D237" s="23"/>
      <c r="E237" s="23"/>
      <c r="F237" s="23"/>
      <c r="G237" s="23"/>
    </row>
    <row r="238" spans="3:7" s="25" customFormat="1" x14ac:dyDescent="0.2">
      <c r="C238" s="23"/>
      <c r="D238" s="23"/>
      <c r="E238" s="23"/>
      <c r="F238" s="23"/>
      <c r="G238" s="23"/>
    </row>
    <row r="239" spans="3:7" s="25" customFormat="1" x14ac:dyDescent="0.2">
      <c r="C239" s="23"/>
      <c r="D239" s="23"/>
      <c r="E239" s="23"/>
      <c r="F239" s="23"/>
      <c r="G239" s="23"/>
    </row>
    <row r="240" spans="3:7" s="25" customFormat="1" x14ac:dyDescent="0.2">
      <c r="C240" s="23"/>
      <c r="D240" s="23"/>
      <c r="E240" s="23"/>
      <c r="F240" s="23"/>
      <c r="G240" s="23"/>
    </row>
    <row r="241" spans="3:7" s="25" customFormat="1" x14ac:dyDescent="0.2">
      <c r="C241" s="23"/>
      <c r="D241" s="23"/>
      <c r="E241" s="23"/>
      <c r="F241" s="23"/>
      <c r="G241" s="23"/>
    </row>
    <row r="242" spans="3:7" s="25" customFormat="1" x14ac:dyDescent="0.2">
      <c r="C242" s="23"/>
      <c r="D242" s="23"/>
      <c r="E242" s="23"/>
      <c r="F242" s="23"/>
      <c r="G242" s="23"/>
    </row>
    <row r="243" spans="3:7" s="25" customFormat="1" x14ac:dyDescent="0.2">
      <c r="C243" s="23"/>
      <c r="D243" s="23"/>
      <c r="E243" s="23"/>
      <c r="F243" s="23"/>
      <c r="G243" s="23"/>
    </row>
    <row r="244" spans="3:7" s="25" customFormat="1" x14ac:dyDescent="0.2">
      <c r="C244" s="23"/>
      <c r="D244" s="23"/>
      <c r="E244" s="23"/>
      <c r="F244" s="23"/>
      <c r="G244" s="23"/>
    </row>
    <row r="245" spans="3:7" s="25" customFormat="1" x14ac:dyDescent="0.2">
      <c r="C245" s="23"/>
      <c r="D245" s="23"/>
      <c r="E245" s="23"/>
      <c r="F245" s="23"/>
      <c r="G245" s="23"/>
    </row>
    <row r="246" spans="3:7" s="25" customFormat="1" x14ac:dyDescent="0.2">
      <c r="C246" s="23"/>
      <c r="D246" s="23"/>
      <c r="E246" s="23"/>
      <c r="F246" s="23"/>
      <c r="G246" s="23"/>
    </row>
    <row r="247" spans="3:7" s="25" customFormat="1" x14ac:dyDescent="0.2">
      <c r="C247" s="23"/>
      <c r="D247" s="23"/>
      <c r="E247" s="23"/>
      <c r="F247" s="23"/>
      <c r="G247" s="23"/>
    </row>
    <row r="248" spans="3:7" s="25" customFormat="1" x14ac:dyDescent="0.2">
      <c r="C248" s="23"/>
      <c r="D248" s="23"/>
      <c r="E248" s="23"/>
      <c r="F248" s="23"/>
      <c r="G248" s="23"/>
    </row>
    <row r="249" spans="3:7" s="25" customFormat="1" x14ac:dyDescent="0.2">
      <c r="C249" s="23"/>
      <c r="D249" s="23"/>
      <c r="E249" s="23"/>
      <c r="F249" s="23"/>
      <c r="G249" s="23"/>
    </row>
    <row r="250" spans="3:7" s="25" customFormat="1" x14ac:dyDescent="0.2">
      <c r="C250" s="23"/>
      <c r="D250" s="23"/>
      <c r="E250" s="23"/>
      <c r="F250" s="23"/>
      <c r="G250" s="23"/>
    </row>
    <row r="251" spans="3:7" s="25" customFormat="1" x14ac:dyDescent="0.2">
      <c r="C251" s="23"/>
      <c r="D251" s="23"/>
      <c r="E251" s="23"/>
      <c r="F251" s="23"/>
      <c r="G251" s="23"/>
    </row>
    <row r="252" spans="3:7" s="25" customFormat="1" x14ac:dyDescent="0.2">
      <c r="C252" s="23"/>
      <c r="D252" s="23"/>
      <c r="E252" s="23"/>
      <c r="F252" s="23"/>
      <c r="G252" s="23"/>
    </row>
    <row r="253" spans="3:7" s="25" customFormat="1" x14ac:dyDescent="0.2">
      <c r="C253" s="23"/>
      <c r="D253" s="23"/>
      <c r="E253" s="23"/>
      <c r="F253" s="23"/>
      <c r="G253" s="23"/>
    </row>
    <row r="254" spans="3:7" s="25" customFormat="1" x14ac:dyDescent="0.2">
      <c r="C254" s="23"/>
      <c r="D254" s="23"/>
      <c r="E254" s="23"/>
      <c r="F254" s="23"/>
      <c r="G254" s="23"/>
    </row>
    <row r="255" spans="3:7" s="25" customFormat="1" x14ac:dyDescent="0.2">
      <c r="C255" s="23"/>
      <c r="D255" s="23"/>
      <c r="E255" s="23"/>
      <c r="F255" s="23"/>
      <c r="G255" s="23"/>
    </row>
    <row r="256" spans="3:7" s="25" customFormat="1" x14ac:dyDescent="0.2">
      <c r="C256" s="23"/>
      <c r="D256" s="23"/>
      <c r="E256" s="23"/>
      <c r="F256" s="23"/>
      <c r="G256" s="23"/>
    </row>
    <row r="257" spans="3:7" s="25" customFormat="1" x14ac:dyDescent="0.2">
      <c r="C257" s="23"/>
      <c r="D257" s="23"/>
      <c r="E257" s="23"/>
      <c r="F257" s="23"/>
      <c r="G257" s="23"/>
    </row>
    <row r="258" spans="3:7" s="25" customFormat="1" x14ac:dyDescent="0.2">
      <c r="C258" s="23"/>
      <c r="D258" s="23"/>
      <c r="E258" s="23"/>
      <c r="F258" s="23"/>
      <c r="G258" s="23"/>
    </row>
    <row r="259" spans="3:7" s="25" customFormat="1" x14ac:dyDescent="0.2">
      <c r="C259" s="23"/>
      <c r="D259" s="23"/>
      <c r="E259" s="23"/>
      <c r="F259" s="23"/>
      <c r="G259" s="23"/>
    </row>
    <row r="260" spans="3:7" s="25" customFormat="1" x14ac:dyDescent="0.2">
      <c r="C260" s="23"/>
      <c r="D260" s="23"/>
      <c r="E260" s="23"/>
      <c r="F260" s="23"/>
      <c r="G260" s="23"/>
    </row>
    <row r="261" spans="3:7" s="25" customFormat="1" x14ac:dyDescent="0.2">
      <c r="C261" s="23"/>
      <c r="D261" s="23"/>
      <c r="E261" s="23"/>
      <c r="F261" s="23"/>
      <c r="G261" s="23"/>
    </row>
    <row r="262" spans="3:7" s="25" customFormat="1" x14ac:dyDescent="0.2">
      <c r="C262" s="23"/>
      <c r="D262" s="23"/>
      <c r="E262" s="23"/>
      <c r="F262" s="23"/>
      <c r="G262" s="23"/>
    </row>
    <row r="263" spans="3:7" s="25" customFormat="1" x14ac:dyDescent="0.2">
      <c r="C263" s="23"/>
      <c r="D263" s="23"/>
      <c r="E263" s="23"/>
      <c r="F263" s="23"/>
      <c r="G263" s="23"/>
    </row>
    <row r="264" spans="3:7" s="25" customFormat="1" x14ac:dyDescent="0.2">
      <c r="C264" s="23"/>
      <c r="D264" s="23"/>
      <c r="E264" s="23"/>
      <c r="F264" s="23"/>
      <c r="G264" s="23"/>
    </row>
    <row r="265" spans="3:7" s="25" customFormat="1" x14ac:dyDescent="0.2">
      <c r="C265" s="23"/>
      <c r="D265" s="23"/>
      <c r="E265" s="23"/>
      <c r="F265" s="23"/>
      <c r="G265" s="23"/>
    </row>
    <row r="266" spans="3:7" s="25" customFormat="1" x14ac:dyDescent="0.2">
      <c r="C266" s="23"/>
      <c r="D266" s="23"/>
      <c r="E266" s="23"/>
      <c r="F266" s="23"/>
      <c r="G266" s="23"/>
    </row>
    <row r="267" spans="3:7" s="25" customFormat="1" x14ac:dyDescent="0.2">
      <c r="C267" s="23"/>
      <c r="D267" s="23"/>
      <c r="E267" s="23"/>
      <c r="F267" s="23"/>
      <c r="G267" s="23"/>
    </row>
    <row r="268" spans="3:7" s="25" customFormat="1" x14ac:dyDescent="0.2">
      <c r="C268" s="23"/>
      <c r="D268" s="23"/>
      <c r="E268" s="23"/>
      <c r="F268" s="23"/>
      <c r="G268" s="23"/>
    </row>
    <row r="269" spans="3:7" s="25" customFormat="1" x14ac:dyDescent="0.2">
      <c r="C269" s="23"/>
      <c r="D269" s="23"/>
      <c r="E269" s="23"/>
      <c r="F269" s="23"/>
      <c r="G269" s="23"/>
    </row>
    <row r="270" spans="3:7" s="25" customFormat="1" x14ac:dyDescent="0.2">
      <c r="C270" s="23"/>
      <c r="D270" s="23"/>
      <c r="E270" s="23"/>
      <c r="F270" s="23"/>
      <c r="G270" s="23"/>
    </row>
    <row r="271" spans="3:7" s="25" customFormat="1" x14ac:dyDescent="0.2">
      <c r="C271" s="23"/>
      <c r="D271" s="23"/>
      <c r="E271" s="23"/>
      <c r="F271" s="23"/>
      <c r="G271" s="23"/>
    </row>
    <row r="272" spans="3:7" s="25" customFormat="1" x14ac:dyDescent="0.2">
      <c r="C272" s="23"/>
      <c r="D272" s="23"/>
      <c r="E272" s="23"/>
      <c r="F272" s="23"/>
      <c r="G272" s="23"/>
    </row>
    <row r="273" spans="3:7" s="25" customFormat="1" x14ac:dyDescent="0.2">
      <c r="C273" s="23"/>
      <c r="D273" s="23"/>
      <c r="E273" s="23"/>
      <c r="F273" s="23"/>
      <c r="G273" s="23"/>
    </row>
    <row r="274" spans="3:7" s="25" customFormat="1" x14ac:dyDescent="0.2">
      <c r="C274" s="23"/>
      <c r="D274" s="23"/>
      <c r="E274" s="23"/>
      <c r="F274" s="23"/>
      <c r="G274" s="23"/>
    </row>
    <row r="275" spans="3:7" s="25" customFormat="1" x14ac:dyDescent="0.2">
      <c r="C275" s="23"/>
      <c r="D275" s="23"/>
      <c r="E275" s="23"/>
      <c r="F275" s="23"/>
      <c r="G275" s="23"/>
    </row>
    <row r="276" spans="3:7" s="25" customFormat="1" x14ac:dyDescent="0.2">
      <c r="C276" s="23"/>
      <c r="D276" s="23"/>
      <c r="E276" s="23"/>
      <c r="F276" s="23"/>
      <c r="G276" s="23"/>
    </row>
    <row r="277" spans="3:7" s="25" customFormat="1" x14ac:dyDescent="0.2">
      <c r="C277" s="23"/>
      <c r="D277" s="23"/>
      <c r="E277" s="23"/>
      <c r="F277" s="23"/>
      <c r="G277" s="23"/>
    </row>
    <row r="278" spans="3:7" s="25" customFormat="1" x14ac:dyDescent="0.2">
      <c r="C278" s="23"/>
      <c r="D278" s="23"/>
      <c r="E278" s="23"/>
      <c r="F278" s="23"/>
      <c r="G278" s="23"/>
    </row>
    <row r="279" spans="3:7" s="25" customFormat="1" x14ac:dyDescent="0.2">
      <c r="C279" s="23"/>
      <c r="D279" s="23"/>
      <c r="E279" s="23"/>
      <c r="F279" s="23"/>
      <c r="G279" s="23"/>
    </row>
    <row r="280" spans="3:7" s="25" customFormat="1" x14ac:dyDescent="0.2">
      <c r="C280" s="23"/>
      <c r="D280" s="23"/>
      <c r="E280" s="23"/>
      <c r="F280" s="23"/>
      <c r="G280" s="23"/>
    </row>
    <row r="281" spans="3:7" s="25" customFormat="1" x14ac:dyDescent="0.2">
      <c r="C281" s="23"/>
      <c r="D281" s="23"/>
      <c r="E281" s="23"/>
      <c r="F281" s="23"/>
      <c r="G281" s="23"/>
    </row>
    <row r="282" spans="3:7" s="25" customFormat="1" x14ac:dyDescent="0.2">
      <c r="C282" s="23"/>
      <c r="D282" s="23"/>
      <c r="E282" s="23"/>
      <c r="F282" s="23"/>
      <c r="G282" s="23"/>
    </row>
    <row r="283" spans="3:7" s="25" customFormat="1" x14ac:dyDescent="0.2">
      <c r="C283" s="23"/>
      <c r="D283" s="23"/>
      <c r="E283" s="23"/>
      <c r="F283" s="23"/>
      <c r="G283" s="23"/>
    </row>
    <row r="284" spans="3:7" s="25" customFormat="1" x14ac:dyDescent="0.2">
      <c r="C284" s="23"/>
      <c r="D284" s="23"/>
      <c r="E284" s="23"/>
      <c r="F284" s="23"/>
      <c r="G284" s="23"/>
    </row>
    <row r="285" spans="3:7" s="25" customFormat="1" x14ac:dyDescent="0.2">
      <c r="C285" s="23"/>
      <c r="D285" s="23"/>
      <c r="E285" s="23"/>
      <c r="F285" s="23"/>
      <c r="G285" s="23"/>
    </row>
    <row r="286" spans="3:7" s="25" customFormat="1" x14ac:dyDescent="0.2">
      <c r="C286" s="23"/>
      <c r="D286" s="23"/>
      <c r="E286" s="23"/>
      <c r="F286" s="23"/>
      <c r="G286" s="23"/>
    </row>
    <row r="287" spans="3:7" s="25" customFormat="1" x14ac:dyDescent="0.2">
      <c r="C287" s="23"/>
      <c r="D287" s="23"/>
      <c r="E287" s="23"/>
      <c r="F287" s="23"/>
      <c r="G287" s="23"/>
    </row>
    <row r="288" spans="3:7" s="25" customFormat="1" x14ac:dyDescent="0.2">
      <c r="C288" s="23"/>
      <c r="D288" s="23"/>
      <c r="E288" s="23"/>
      <c r="F288" s="23"/>
      <c r="G288" s="23"/>
    </row>
    <row r="289" spans="3:7" s="25" customFormat="1" x14ac:dyDescent="0.2">
      <c r="C289" s="23"/>
      <c r="D289" s="23"/>
      <c r="E289" s="23"/>
      <c r="F289" s="23"/>
      <c r="G289" s="23"/>
    </row>
    <row r="290" spans="3:7" s="25" customFormat="1" x14ac:dyDescent="0.2">
      <c r="C290" s="23"/>
      <c r="D290" s="23"/>
      <c r="E290" s="23"/>
      <c r="F290" s="23"/>
      <c r="G290" s="23"/>
    </row>
    <row r="291" spans="3:7" s="25" customFormat="1" x14ac:dyDescent="0.2">
      <c r="C291" s="23"/>
      <c r="D291" s="23"/>
      <c r="E291" s="23"/>
      <c r="F291" s="23"/>
      <c r="G291" s="23"/>
    </row>
    <row r="292" spans="3:7" s="25" customFormat="1" x14ac:dyDescent="0.2">
      <c r="C292" s="23"/>
      <c r="D292" s="23"/>
      <c r="E292" s="23"/>
      <c r="F292" s="23"/>
      <c r="G292" s="23"/>
    </row>
    <row r="293" spans="3:7" s="25" customFormat="1" x14ac:dyDescent="0.2">
      <c r="C293" s="23"/>
      <c r="D293" s="23"/>
      <c r="E293" s="23"/>
      <c r="F293" s="23"/>
      <c r="G293" s="23"/>
    </row>
    <row r="294" spans="3:7" s="25" customFormat="1" x14ac:dyDescent="0.2">
      <c r="C294" s="23"/>
      <c r="D294" s="23"/>
      <c r="E294" s="23"/>
      <c r="F294" s="23"/>
      <c r="G294" s="23"/>
    </row>
    <row r="295" spans="3:7" s="25" customFormat="1" x14ac:dyDescent="0.2">
      <c r="C295" s="23"/>
      <c r="D295" s="23"/>
      <c r="E295" s="23"/>
      <c r="F295" s="23"/>
      <c r="G295" s="23"/>
    </row>
    <row r="296" spans="3:7" s="25" customFormat="1" x14ac:dyDescent="0.2">
      <c r="C296" s="23"/>
      <c r="D296" s="23"/>
      <c r="E296" s="23"/>
      <c r="F296" s="23"/>
      <c r="G296" s="23"/>
    </row>
    <row r="297" spans="3:7" s="25" customFormat="1" x14ac:dyDescent="0.2">
      <c r="C297" s="23"/>
      <c r="D297" s="23"/>
      <c r="E297" s="23"/>
      <c r="F297" s="23"/>
      <c r="G297" s="23"/>
    </row>
    <row r="298" spans="3:7" s="25" customFormat="1" x14ac:dyDescent="0.2">
      <c r="C298" s="23"/>
      <c r="D298" s="23"/>
      <c r="E298" s="23"/>
      <c r="F298" s="23"/>
      <c r="G298" s="23"/>
    </row>
    <row r="299" spans="3:7" s="25" customFormat="1" x14ac:dyDescent="0.2">
      <c r="C299" s="23"/>
      <c r="D299" s="23"/>
      <c r="E299" s="23"/>
      <c r="F299" s="23"/>
      <c r="G299" s="23"/>
    </row>
    <row r="300" spans="3:7" s="25" customFormat="1" x14ac:dyDescent="0.2">
      <c r="C300" s="23"/>
      <c r="D300" s="23"/>
      <c r="E300" s="23"/>
      <c r="F300" s="23"/>
      <c r="G300" s="23"/>
    </row>
    <row r="301" spans="3:7" s="25" customFormat="1" x14ac:dyDescent="0.2">
      <c r="C301" s="23"/>
      <c r="D301" s="23"/>
      <c r="E301" s="23"/>
      <c r="F301" s="23"/>
      <c r="G301" s="23"/>
    </row>
    <row r="302" spans="3:7" s="25" customFormat="1" x14ac:dyDescent="0.2">
      <c r="C302" s="23"/>
      <c r="D302" s="23"/>
      <c r="E302" s="23"/>
      <c r="F302" s="23"/>
      <c r="G302" s="23"/>
    </row>
    <row r="303" spans="3:7" s="25" customFormat="1" x14ac:dyDescent="0.2">
      <c r="C303" s="23"/>
      <c r="D303" s="23"/>
      <c r="E303" s="23"/>
      <c r="F303" s="23"/>
      <c r="G303" s="23"/>
    </row>
    <row r="304" spans="3:7" s="25" customFormat="1" x14ac:dyDescent="0.2">
      <c r="C304" s="23"/>
      <c r="D304" s="23"/>
      <c r="E304" s="23"/>
      <c r="F304" s="23"/>
      <c r="G304" s="23"/>
    </row>
    <row r="305" spans="3:7" s="25" customFormat="1" x14ac:dyDescent="0.2">
      <c r="C305" s="23"/>
      <c r="D305" s="23"/>
      <c r="E305" s="23"/>
      <c r="F305" s="23"/>
      <c r="G305" s="23"/>
    </row>
    <row r="306" spans="3:7" s="25" customFormat="1" x14ac:dyDescent="0.2">
      <c r="C306" s="23"/>
      <c r="D306" s="23"/>
      <c r="E306" s="23"/>
      <c r="F306" s="23"/>
      <c r="G306" s="23"/>
    </row>
    <row r="307" spans="3:7" s="25" customFormat="1" x14ac:dyDescent="0.2">
      <c r="C307" s="23"/>
      <c r="D307" s="23"/>
      <c r="E307" s="23"/>
      <c r="F307" s="23"/>
      <c r="G307" s="23"/>
    </row>
    <row r="308" spans="3:7" s="25" customFormat="1" x14ac:dyDescent="0.2">
      <c r="C308" s="23"/>
      <c r="D308" s="23"/>
      <c r="E308" s="23"/>
      <c r="F308" s="23"/>
      <c r="G308" s="23"/>
    </row>
    <row r="309" spans="3:7" s="25" customFormat="1" x14ac:dyDescent="0.2">
      <c r="C309" s="23"/>
      <c r="D309" s="23"/>
      <c r="E309" s="23"/>
      <c r="F309" s="23"/>
      <c r="G309" s="23"/>
    </row>
    <row r="310" spans="3:7" s="25" customFormat="1" x14ac:dyDescent="0.2">
      <c r="C310" s="23"/>
      <c r="D310" s="23"/>
      <c r="E310" s="23"/>
      <c r="F310" s="23"/>
      <c r="G310" s="23"/>
    </row>
    <row r="311" spans="3:7" s="25" customFormat="1" x14ac:dyDescent="0.2">
      <c r="C311" s="23"/>
      <c r="D311" s="23"/>
      <c r="E311" s="23"/>
      <c r="F311" s="23"/>
      <c r="G311" s="23"/>
    </row>
    <row r="312" spans="3:7" s="25" customFormat="1" x14ac:dyDescent="0.2">
      <c r="C312" s="23"/>
      <c r="D312" s="23"/>
      <c r="E312" s="23"/>
      <c r="F312" s="23"/>
      <c r="G312" s="23"/>
    </row>
    <row r="313" spans="3:7" s="25" customFormat="1" x14ac:dyDescent="0.2">
      <c r="C313" s="23"/>
      <c r="D313" s="23"/>
      <c r="E313" s="23"/>
      <c r="F313" s="23"/>
      <c r="G313" s="23"/>
    </row>
    <row r="314" spans="3:7" s="25" customFormat="1" x14ac:dyDescent="0.2">
      <c r="C314" s="23"/>
      <c r="D314" s="23"/>
      <c r="E314" s="23"/>
      <c r="F314" s="23"/>
      <c r="G314" s="23"/>
    </row>
    <row r="315" spans="3:7" s="25" customFormat="1" x14ac:dyDescent="0.2">
      <c r="C315" s="23"/>
      <c r="D315" s="23"/>
      <c r="E315" s="23"/>
      <c r="F315" s="23"/>
      <c r="G315" s="23"/>
    </row>
    <row r="316" spans="3:7" s="25" customFormat="1" x14ac:dyDescent="0.2">
      <c r="C316" s="23"/>
      <c r="D316" s="23"/>
      <c r="E316" s="23"/>
      <c r="F316" s="23"/>
      <c r="G316" s="23"/>
    </row>
    <row r="317" spans="3:7" s="25" customFormat="1" x14ac:dyDescent="0.2">
      <c r="C317" s="23"/>
      <c r="D317" s="23"/>
      <c r="E317" s="23"/>
      <c r="F317" s="23"/>
      <c r="G317" s="23"/>
    </row>
    <row r="318" spans="3:7" s="25" customFormat="1" x14ac:dyDescent="0.2">
      <c r="C318" s="23"/>
      <c r="D318" s="23"/>
      <c r="E318" s="23"/>
      <c r="F318" s="23"/>
      <c r="G318" s="23"/>
    </row>
    <row r="319" spans="3:7" s="25" customFormat="1" x14ac:dyDescent="0.2">
      <c r="C319" s="23"/>
      <c r="D319" s="23"/>
      <c r="E319" s="23"/>
      <c r="F319" s="23"/>
      <c r="G319" s="23"/>
    </row>
    <row r="320" spans="3:7" s="25" customFormat="1" x14ac:dyDescent="0.2">
      <c r="C320" s="23"/>
      <c r="D320" s="23"/>
      <c r="E320" s="23"/>
      <c r="F320" s="23"/>
      <c r="G320" s="23"/>
    </row>
    <row r="321" spans="3:7" s="25" customFormat="1" x14ac:dyDescent="0.2">
      <c r="C321" s="23"/>
      <c r="D321" s="23"/>
      <c r="E321" s="23"/>
      <c r="F321" s="23"/>
      <c r="G321" s="23"/>
    </row>
    <row r="322" spans="3:7" s="25" customFormat="1" x14ac:dyDescent="0.2">
      <c r="C322" s="23"/>
      <c r="D322" s="23"/>
      <c r="E322" s="23"/>
      <c r="F322" s="23"/>
      <c r="G322" s="23"/>
    </row>
    <row r="323" spans="3:7" s="25" customFormat="1" x14ac:dyDescent="0.2">
      <c r="C323" s="23"/>
      <c r="D323" s="23"/>
      <c r="E323" s="23"/>
      <c r="F323" s="23"/>
      <c r="G323" s="23"/>
    </row>
    <row r="324" spans="3:7" s="25" customFormat="1" x14ac:dyDescent="0.2">
      <c r="C324" s="23"/>
      <c r="D324" s="23"/>
      <c r="E324" s="23"/>
      <c r="F324" s="23"/>
      <c r="G324" s="23"/>
    </row>
  </sheetData>
  <mergeCells count="3">
    <mergeCell ref="A26:G26"/>
    <mergeCell ref="A63:G63"/>
    <mergeCell ref="A9:G9"/>
  </mergeCells>
  <dataValidations count="3">
    <dataValidation type="list" allowBlank="1" showInputMessage="1" showErrorMessage="1" sqref="B3" xr:uid="{AD08CC49-5AC0-4DF9-AF10-0BBD281406F0}">
      <formula1>"Blue Stripe, Blue Belt"</formula1>
    </dataValidation>
    <dataValidation type="list" allowBlank="1" showInputMessage="1" showErrorMessage="1" sqref="E28:E30 E65:E78 E25 E50 E36:E47 E32:E34 E52:E58 E60:E62 E13 E21" xr:uid="{B2FC5F4C-B381-4369-9471-833B3B49A7E9}">
      <formula1>"Untrained, In Progress, Retrain, Trained,Proficient"</formula1>
    </dataValidation>
    <dataValidation type="list" allowBlank="1" showInputMessage="1" showErrorMessage="1" sqref="B6:B7" xr:uid="{4817F5FF-13AF-4274-A6B6-70FEB4EE592A}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6680-CD1B-4790-A8BB-1BB1B143B01A}">
  <dimension ref="A1:AB60"/>
  <sheetViews>
    <sheetView zoomScale="85" zoomScaleNormal="85" workbookViewId="0">
      <selection activeCell="D2" sqref="D2"/>
    </sheetView>
  </sheetViews>
  <sheetFormatPr defaultColWidth="8.85546875" defaultRowHeight="15" x14ac:dyDescent="0.2"/>
  <cols>
    <col min="1" max="1" width="42.5703125" style="7" bestFit="1" customWidth="1"/>
    <col min="2" max="2" width="21.42578125" style="7" bestFit="1" customWidth="1"/>
    <col min="3" max="3" width="19.140625" style="8" customWidth="1"/>
    <col min="4" max="4" width="21.5703125" style="8" customWidth="1"/>
    <col min="5" max="5" width="10.42578125" style="8" bestFit="1" customWidth="1"/>
    <col min="6" max="6" width="24.42578125" style="105" bestFit="1" customWidth="1"/>
    <col min="7" max="7" width="207.140625" style="8" bestFit="1" customWidth="1"/>
    <col min="8" max="22" width="8.85546875" style="25"/>
    <col min="23" max="16384" width="8.85546875" style="7"/>
  </cols>
  <sheetData>
    <row r="1" spans="1:22" x14ac:dyDescent="0.2">
      <c r="A1" s="14" t="s">
        <v>69</v>
      </c>
      <c r="B1" s="11"/>
      <c r="C1" s="19" t="s">
        <v>87</v>
      </c>
      <c r="D1" s="21">
        <f ca="1">TODAY()</f>
        <v>45945</v>
      </c>
      <c r="E1" s="23"/>
      <c r="F1" s="107"/>
      <c r="G1" s="23"/>
    </row>
    <row r="2" spans="1:22" ht="20.25" x14ac:dyDescent="0.3">
      <c r="A2" s="40" t="s">
        <v>78</v>
      </c>
      <c r="B2" s="233" t="s">
        <v>628</v>
      </c>
      <c r="C2" s="19" t="s">
        <v>5</v>
      </c>
      <c r="D2" s="21">
        <f>VLOOKUP(B3,Target,4,0)</f>
        <v>44027</v>
      </c>
      <c r="E2" s="23"/>
      <c r="F2" s="107"/>
      <c r="G2" s="23"/>
    </row>
    <row r="3" spans="1:22" ht="20.25" x14ac:dyDescent="0.3">
      <c r="A3" s="40" t="s">
        <v>70</v>
      </c>
      <c r="B3" s="129" t="s">
        <v>15</v>
      </c>
      <c r="C3" s="19" t="s">
        <v>12</v>
      </c>
      <c r="D3" s="22">
        <f ca="1">SUM(D2-(TODAY()))</f>
        <v>-1918</v>
      </c>
      <c r="E3" s="23"/>
      <c r="F3" s="107"/>
      <c r="G3" s="23"/>
    </row>
    <row r="4" spans="1:22" x14ac:dyDescent="0.2">
      <c r="A4" s="25"/>
      <c r="B4" s="25"/>
      <c r="C4" s="23"/>
      <c r="D4" s="23"/>
      <c r="E4" s="23"/>
      <c r="F4" s="107"/>
      <c r="G4" s="23"/>
    </row>
    <row r="5" spans="1:22" s="25" customFormat="1" ht="20.25" x14ac:dyDescent="0.3">
      <c r="A5" s="143" t="s">
        <v>102</v>
      </c>
      <c r="B5" s="31" t="s">
        <v>595</v>
      </c>
      <c r="C5" s="91"/>
      <c r="D5" s="91"/>
      <c r="E5" s="91"/>
      <c r="F5" s="91"/>
      <c r="G5" s="91"/>
    </row>
    <row r="6" spans="1:22" s="25" customFormat="1" ht="15.75" x14ac:dyDescent="0.25">
      <c r="A6" s="34" t="s">
        <v>614</v>
      </c>
      <c r="B6" s="31"/>
      <c r="C6" s="91"/>
      <c r="D6" s="91"/>
      <c r="E6" s="91"/>
      <c r="F6" s="91"/>
      <c r="G6" s="91"/>
    </row>
    <row r="7" spans="1:22" s="25" customFormat="1" ht="15.75" x14ac:dyDescent="0.25">
      <c r="A7" s="34" t="s">
        <v>615</v>
      </c>
      <c r="B7" s="31"/>
      <c r="C7" s="91"/>
      <c r="D7" s="91"/>
      <c r="E7" s="91"/>
      <c r="F7" s="91"/>
      <c r="G7" s="91"/>
    </row>
    <row r="8" spans="1:22" x14ac:dyDescent="0.2">
      <c r="A8" s="25"/>
      <c r="B8" s="25"/>
      <c r="C8" s="23"/>
      <c r="D8" s="23"/>
      <c r="E8" s="23"/>
      <c r="F8" s="107"/>
      <c r="G8" s="23"/>
    </row>
    <row r="9" spans="1:22" ht="15.75" x14ac:dyDescent="0.25">
      <c r="A9" s="268" t="s">
        <v>348</v>
      </c>
      <c r="B9" s="268"/>
      <c r="C9" s="268"/>
      <c r="D9" s="268"/>
      <c r="E9" s="268"/>
      <c r="F9" s="268"/>
      <c r="G9" s="268"/>
      <c r="U9" s="7"/>
      <c r="V9" s="7"/>
    </row>
    <row r="10" spans="1:22" s="25" customFormat="1" ht="15.75" x14ac:dyDescent="0.25">
      <c r="A10" s="34" t="s">
        <v>333</v>
      </c>
      <c r="B10" s="26" t="s">
        <v>112</v>
      </c>
      <c r="C10" s="26" t="s">
        <v>11</v>
      </c>
      <c r="D10" s="26" t="s">
        <v>200</v>
      </c>
      <c r="E10" s="26" t="s">
        <v>6</v>
      </c>
      <c r="F10" s="26" t="s">
        <v>470</v>
      </c>
      <c r="G10" s="110" t="s">
        <v>487</v>
      </c>
    </row>
    <row r="11" spans="1:22" s="25" customFormat="1" ht="15.75" x14ac:dyDescent="0.25">
      <c r="A11" s="37" t="s">
        <v>504</v>
      </c>
      <c r="B11" s="101"/>
      <c r="C11" s="101"/>
      <c r="D11" s="101"/>
      <c r="E11" s="101"/>
      <c r="F11" s="36"/>
      <c r="G11" s="37"/>
    </row>
    <row r="12" spans="1:22" s="25" customFormat="1" ht="15.75" x14ac:dyDescent="0.25">
      <c r="A12" s="34" t="s">
        <v>499</v>
      </c>
      <c r="B12" s="26" t="s">
        <v>112</v>
      </c>
      <c r="C12" s="26" t="s">
        <v>11</v>
      </c>
      <c r="D12" s="26" t="s">
        <v>200</v>
      </c>
      <c r="E12" s="26" t="s">
        <v>6</v>
      </c>
      <c r="F12" s="26" t="s">
        <v>470</v>
      </c>
      <c r="G12" s="110" t="s">
        <v>487</v>
      </c>
    </row>
    <row r="13" spans="1:22" s="25" customFormat="1" ht="15.75" x14ac:dyDescent="0.25">
      <c r="A13" s="37" t="s">
        <v>495</v>
      </c>
      <c r="B13" s="101"/>
      <c r="C13" s="101"/>
      <c r="D13" s="101"/>
      <c r="E13" s="101"/>
      <c r="F13" s="36"/>
      <c r="G13" s="102"/>
    </row>
    <row r="14" spans="1:22" s="25" customFormat="1" ht="15.75" x14ac:dyDescent="0.25">
      <c r="A14" s="34" t="s">
        <v>498</v>
      </c>
      <c r="B14" s="26" t="s">
        <v>112</v>
      </c>
      <c r="C14" s="26" t="s">
        <v>11</v>
      </c>
      <c r="D14" s="26" t="s">
        <v>200</v>
      </c>
      <c r="E14" s="26" t="s">
        <v>6</v>
      </c>
      <c r="F14" s="26" t="s">
        <v>470</v>
      </c>
      <c r="G14" s="110" t="s">
        <v>487</v>
      </c>
    </row>
    <row r="15" spans="1:22" s="25" customFormat="1" ht="15.75" x14ac:dyDescent="0.25">
      <c r="A15" s="37" t="s">
        <v>511</v>
      </c>
      <c r="B15" s="101"/>
      <c r="C15" s="101"/>
      <c r="D15" s="101"/>
      <c r="E15" s="101"/>
      <c r="F15" s="36"/>
      <c r="G15" s="102"/>
    </row>
    <row r="16" spans="1:22" s="25" customFormat="1" ht="15.75" x14ac:dyDescent="0.25">
      <c r="A16" s="37" t="s">
        <v>503</v>
      </c>
      <c r="B16" s="101"/>
      <c r="C16" s="101"/>
      <c r="D16" s="101"/>
      <c r="E16" s="101"/>
      <c r="F16" s="36"/>
      <c r="G16" s="102"/>
    </row>
    <row r="17" spans="1:28" s="25" customFormat="1" ht="15.75" x14ac:dyDescent="0.25">
      <c r="A17" s="34" t="s">
        <v>497</v>
      </c>
      <c r="B17" s="26" t="s">
        <v>112</v>
      </c>
      <c r="C17" s="26" t="s">
        <v>11</v>
      </c>
      <c r="D17" s="26" t="s">
        <v>200</v>
      </c>
      <c r="E17" s="26" t="s">
        <v>6</v>
      </c>
      <c r="F17" s="26" t="s">
        <v>470</v>
      </c>
      <c r="G17" s="110" t="s">
        <v>487</v>
      </c>
    </row>
    <row r="18" spans="1:28" s="25" customFormat="1" ht="15.75" x14ac:dyDescent="0.2">
      <c r="A18" s="37" t="s">
        <v>492</v>
      </c>
      <c r="B18" s="84">
        <f ca="1">TODAY()</f>
        <v>45945</v>
      </c>
      <c r="C18" s="12">
        <v>14</v>
      </c>
      <c r="D18" s="21">
        <f ca="1">SUM(B18+C18)</f>
        <v>45959</v>
      </c>
      <c r="E18" s="27" t="s">
        <v>55</v>
      </c>
      <c r="F18" s="36" t="s">
        <v>486</v>
      </c>
      <c r="G18" s="102"/>
    </row>
    <row r="19" spans="1:28" s="25" customFormat="1" ht="15.75" x14ac:dyDescent="0.2">
      <c r="A19" s="37" t="s">
        <v>484</v>
      </c>
      <c r="B19" s="84">
        <f ca="1">TODAY()</f>
        <v>45945</v>
      </c>
      <c r="C19" s="12">
        <v>14</v>
      </c>
      <c r="D19" s="21">
        <f ca="1">SUM(B19+C19)</f>
        <v>45959</v>
      </c>
      <c r="E19" s="27" t="s">
        <v>55</v>
      </c>
      <c r="F19" s="36"/>
      <c r="G19" s="102"/>
    </row>
    <row r="20" spans="1:28" s="92" customFormat="1" ht="15.75" x14ac:dyDescent="0.25">
      <c r="A20" s="94"/>
      <c r="B20" s="21"/>
      <c r="C20" s="12"/>
      <c r="D20" s="21"/>
      <c r="E20" s="12"/>
      <c r="F20" s="94"/>
      <c r="G20" s="99"/>
    </row>
    <row r="21" spans="1:28" ht="15.75" x14ac:dyDescent="0.25">
      <c r="A21" s="268" t="s">
        <v>0</v>
      </c>
      <c r="B21" s="268"/>
      <c r="C21" s="268"/>
      <c r="D21" s="268"/>
      <c r="E21" s="268"/>
      <c r="F21" s="268"/>
      <c r="G21" s="268"/>
      <c r="U21" s="7"/>
      <c r="V21" s="7"/>
    </row>
    <row r="22" spans="1:28" ht="15.75" x14ac:dyDescent="0.25">
      <c r="A22" s="34" t="s">
        <v>557</v>
      </c>
      <c r="B22" s="26" t="s">
        <v>112</v>
      </c>
      <c r="C22" s="26" t="s">
        <v>11</v>
      </c>
      <c r="D22" s="26" t="s">
        <v>200</v>
      </c>
      <c r="E22" s="26" t="s">
        <v>6</v>
      </c>
      <c r="F22" s="26" t="s">
        <v>470</v>
      </c>
      <c r="G22" s="46" t="s">
        <v>512</v>
      </c>
      <c r="W22" s="25"/>
      <c r="X22" s="25"/>
      <c r="Y22" s="25"/>
      <c r="Z22" s="25"/>
    </row>
    <row r="23" spans="1:28" x14ac:dyDescent="0.2">
      <c r="A23" s="12">
        <v>7</v>
      </c>
      <c r="B23" s="21">
        <f t="shared" ref="B23:B24" ca="1" si="0">TODAY()</f>
        <v>45945</v>
      </c>
      <c r="C23" s="12">
        <v>14</v>
      </c>
      <c r="D23" s="21">
        <f t="shared" ref="D23" ca="1" si="1">SUM(B23+C23)</f>
        <v>45959</v>
      </c>
      <c r="E23" s="12" t="s">
        <v>56</v>
      </c>
      <c r="F23" s="35" t="s">
        <v>452</v>
      </c>
      <c r="G23" s="47"/>
      <c r="W23" s="25"/>
      <c r="X23" s="25"/>
      <c r="Y23" s="25"/>
      <c r="Z23" s="25"/>
      <c r="AA23" s="25"/>
      <c r="AB23" s="25"/>
    </row>
    <row r="24" spans="1:28" x14ac:dyDescent="0.2">
      <c r="A24" s="12">
        <v>8</v>
      </c>
      <c r="B24" s="21">
        <f t="shared" ca="1" si="0"/>
        <v>45945</v>
      </c>
      <c r="C24" s="12">
        <v>14</v>
      </c>
      <c r="D24" s="21">
        <f t="shared" ref="D24" ca="1" si="2">SUM(B24+C24)</f>
        <v>45959</v>
      </c>
      <c r="E24" s="12" t="s">
        <v>56</v>
      </c>
      <c r="F24" s="35" t="s">
        <v>452</v>
      </c>
      <c r="G24" s="47"/>
      <c r="W24" s="25"/>
      <c r="X24" s="25"/>
      <c r="Y24" s="25"/>
      <c r="Z24" s="25"/>
      <c r="AA24" s="25"/>
      <c r="AB24" s="25"/>
    </row>
    <row r="25" spans="1:28" s="92" customFormat="1" ht="15.75" x14ac:dyDescent="0.25">
      <c r="A25" s="96"/>
      <c r="B25" s="28"/>
      <c r="C25" s="8"/>
      <c r="D25" s="28"/>
      <c r="E25" s="8"/>
      <c r="F25" s="95"/>
      <c r="G25" s="103"/>
    </row>
    <row r="26" spans="1:28" ht="15.75" x14ac:dyDescent="0.25">
      <c r="A26" s="34" t="s">
        <v>426</v>
      </c>
      <c r="B26" s="26" t="s">
        <v>112</v>
      </c>
      <c r="C26" s="26" t="s">
        <v>11</v>
      </c>
      <c r="D26" s="26" t="s">
        <v>200</v>
      </c>
      <c r="E26" s="26" t="s">
        <v>6</v>
      </c>
      <c r="F26" s="26" t="s">
        <v>470</v>
      </c>
      <c r="G26" s="46" t="s">
        <v>427</v>
      </c>
      <c r="W26" s="25"/>
      <c r="X26" s="25"/>
      <c r="Y26" s="25"/>
      <c r="Z26" s="25"/>
      <c r="AA26" s="25"/>
      <c r="AB26" s="25"/>
    </row>
    <row r="27" spans="1:28" x14ac:dyDescent="0.2">
      <c r="A27" s="35" t="s">
        <v>445</v>
      </c>
      <c r="B27" s="21">
        <f ca="1">TODAY()</f>
        <v>45945</v>
      </c>
      <c r="C27" s="12">
        <v>14</v>
      </c>
      <c r="D27" s="21">
        <f ca="1">SUM(B27+C27)</f>
        <v>45959</v>
      </c>
      <c r="E27" s="12" t="s">
        <v>56</v>
      </c>
      <c r="F27" s="35" t="s">
        <v>446</v>
      </c>
      <c r="G27" s="106"/>
      <c r="W27" s="25"/>
      <c r="X27" s="25"/>
      <c r="Y27" s="25"/>
      <c r="Z27" s="25"/>
      <c r="AA27" s="25"/>
    </row>
    <row r="28" spans="1:28" s="92" customFormat="1" ht="15.75" x14ac:dyDescent="0.25">
      <c r="A28" s="96"/>
      <c r="B28" s="28"/>
      <c r="C28" s="8"/>
      <c r="D28" s="28"/>
      <c r="E28" s="8"/>
      <c r="F28" s="95"/>
      <c r="G28" s="103"/>
    </row>
    <row r="29" spans="1:28" s="25" customFormat="1" ht="15.75" x14ac:dyDescent="0.25">
      <c r="A29" s="34" t="s">
        <v>393</v>
      </c>
      <c r="B29" s="26" t="s">
        <v>112</v>
      </c>
      <c r="C29" s="26" t="s">
        <v>11</v>
      </c>
      <c r="D29" s="26" t="s">
        <v>200</v>
      </c>
      <c r="E29" s="26" t="s">
        <v>6</v>
      </c>
      <c r="F29" s="26" t="s">
        <v>470</v>
      </c>
      <c r="G29" s="46" t="s">
        <v>466</v>
      </c>
    </row>
    <row r="30" spans="1:28" s="25" customFormat="1" x14ac:dyDescent="0.2">
      <c r="A30" s="35" t="s">
        <v>410</v>
      </c>
      <c r="B30" s="21">
        <f ca="1">TODAY()</f>
        <v>45945</v>
      </c>
      <c r="C30" s="12">
        <v>17</v>
      </c>
      <c r="D30" s="21">
        <f ca="1">SUM(B30+C30)</f>
        <v>45962</v>
      </c>
      <c r="E30" s="12" t="s">
        <v>56</v>
      </c>
      <c r="F30" s="35" t="s">
        <v>410</v>
      </c>
      <c r="G30" s="47"/>
    </row>
    <row r="31" spans="1:28" s="25" customFormat="1" x14ac:dyDescent="0.2">
      <c r="A31" s="35" t="s">
        <v>401</v>
      </c>
      <c r="B31" s="21">
        <f ca="1">TODAY()</f>
        <v>45945</v>
      </c>
      <c r="C31" s="12">
        <v>14</v>
      </c>
      <c r="D31" s="21">
        <f ca="1">SUM(B31+C31)</f>
        <v>45959</v>
      </c>
      <c r="E31" s="12" t="s">
        <v>56</v>
      </c>
      <c r="F31" s="36"/>
      <c r="G31" s="47"/>
    </row>
    <row r="32" spans="1:28" s="25" customFormat="1" x14ac:dyDescent="0.2">
      <c r="A32" s="35" t="s">
        <v>402</v>
      </c>
      <c r="B32" s="21">
        <f ca="1">TODAY()</f>
        <v>45945</v>
      </c>
      <c r="C32" s="12">
        <v>14</v>
      </c>
      <c r="D32" s="21">
        <f ca="1">SUM(B32+C32)</f>
        <v>45959</v>
      </c>
      <c r="E32" s="12" t="s">
        <v>56</v>
      </c>
      <c r="F32" s="36"/>
      <c r="G32" s="47"/>
    </row>
    <row r="33" spans="1:28" s="92" customFormat="1" ht="15.75" x14ac:dyDescent="0.25">
      <c r="A33" s="96"/>
      <c r="B33" s="28"/>
      <c r="C33" s="8"/>
      <c r="D33" s="28"/>
      <c r="E33" s="8"/>
      <c r="F33" s="95"/>
      <c r="G33" s="103"/>
    </row>
    <row r="34" spans="1:28" s="25" customFormat="1" ht="15.75" x14ac:dyDescent="0.25">
      <c r="A34" s="34" t="s">
        <v>438</v>
      </c>
      <c r="B34" s="26" t="s">
        <v>112</v>
      </c>
      <c r="C34" s="26" t="s">
        <v>11</v>
      </c>
      <c r="D34" s="26" t="s">
        <v>200</v>
      </c>
      <c r="E34" s="26" t="s">
        <v>6</v>
      </c>
      <c r="F34" s="26" t="s">
        <v>470</v>
      </c>
      <c r="G34" s="46" t="s">
        <v>467</v>
      </c>
    </row>
    <row r="35" spans="1:28" s="25" customFormat="1" x14ac:dyDescent="0.2">
      <c r="A35" s="12" t="s">
        <v>423</v>
      </c>
      <c r="B35" s="21">
        <f ca="1">TODAY()</f>
        <v>45945</v>
      </c>
      <c r="C35" s="12">
        <v>14</v>
      </c>
      <c r="D35" s="21">
        <f ca="1">SUM(B35+C35)</f>
        <v>45959</v>
      </c>
      <c r="E35" s="12" t="s">
        <v>56</v>
      </c>
      <c r="F35" s="35" t="s">
        <v>423</v>
      </c>
      <c r="G35" s="47"/>
    </row>
    <row r="36" spans="1:28" s="25" customFormat="1" x14ac:dyDescent="0.2">
      <c r="A36" s="12"/>
      <c r="B36" s="21"/>
      <c r="C36" s="12"/>
      <c r="D36" s="21"/>
      <c r="E36" s="12"/>
      <c r="F36" s="35"/>
      <c r="G36" s="47"/>
    </row>
    <row r="37" spans="1:28" ht="15.75" x14ac:dyDescent="0.25">
      <c r="A37" s="34" t="s">
        <v>14</v>
      </c>
      <c r="B37" s="26" t="s">
        <v>112</v>
      </c>
      <c r="C37" s="26" t="s">
        <v>11</v>
      </c>
      <c r="D37" s="26" t="s">
        <v>200</v>
      </c>
      <c r="E37" s="26" t="s">
        <v>6</v>
      </c>
      <c r="F37" s="108"/>
      <c r="G37" s="108" t="s">
        <v>463</v>
      </c>
    </row>
    <row r="38" spans="1:28" x14ac:dyDescent="0.2">
      <c r="A38" s="12">
        <v>7</v>
      </c>
      <c r="B38" s="67">
        <f ca="1">TODAY()</f>
        <v>45945</v>
      </c>
      <c r="C38" s="12">
        <v>14</v>
      </c>
      <c r="D38" s="21">
        <f ca="1">SUM(B38+C38)</f>
        <v>45959</v>
      </c>
      <c r="E38" s="27" t="s">
        <v>55</v>
      </c>
      <c r="F38" s="90" t="s">
        <v>260</v>
      </c>
      <c r="G38" s="35" t="s">
        <v>207</v>
      </c>
    </row>
    <row r="39" spans="1:28" x14ac:dyDescent="0.2">
      <c r="A39" s="12">
        <v>8</v>
      </c>
      <c r="B39" s="67">
        <f ca="1">TODAY()</f>
        <v>45945</v>
      </c>
      <c r="C39" s="12">
        <v>14</v>
      </c>
      <c r="D39" s="21">
        <f ca="1">SUM(B39+C39)</f>
        <v>45959</v>
      </c>
      <c r="E39" s="27" t="s">
        <v>55</v>
      </c>
      <c r="F39" s="90" t="s">
        <v>261</v>
      </c>
      <c r="G39" s="35" t="s">
        <v>204</v>
      </c>
    </row>
    <row r="40" spans="1:28" x14ac:dyDescent="0.2">
      <c r="A40" s="12">
        <v>9</v>
      </c>
      <c r="B40" s="67">
        <f ca="1">TODAY()</f>
        <v>45945</v>
      </c>
      <c r="C40" s="12">
        <v>14</v>
      </c>
      <c r="D40" s="21">
        <f ca="1">SUM(B40+C40)</f>
        <v>45959</v>
      </c>
      <c r="E40" s="27" t="s">
        <v>55</v>
      </c>
      <c r="F40" s="90" t="s">
        <v>262</v>
      </c>
      <c r="G40" s="35" t="s">
        <v>208</v>
      </c>
    </row>
    <row r="41" spans="1:28" x14ac:dyDescent="0.2">
      <c r="A41" s="12">
        <v>10</v>
      </c>
      <c r="B41" s="67">
        <f ca="1">TODAY()</f>
        <v>45945</v>
      </c>
      <c r="C41" s="12">
        <v>14</v>
      </c>
      <c r="D41" s="21">
        <f ca="1">SUM(B41+C41)</f>
        <v>45959</v>
      </c>
      <c r="E41" s="27" t="s">
        <v>55</v>
      </c>
      <c r="F41" s="90" t="s">
        <v>263</v>
      </c>
      <c r="G41" s="35" t="s">
        <v>209</v>
      </c>
    </row>
    <row r="42" spans="1:28" x14ac:dyDescent="0.2">
      <c r="A42" s="12">
        <v>11</v>
      </c>
      <c r="B42" s="84">
        <f ca="1">TODAY()</f>
        <v>45945</v>
      </c>
      <c r="C42" s="12">
        <v>14</v>
      </c>
      <c r="D42" s="21">
        <f ca="1">SUM(B42+C42)</f>
        <v>45959</v>
      </c>
      <c r="E42" s="27" t="s">
        <v>55</v>
      </c>
      <c r="F42" s="90" t="s">
        <v>264</v>
      </c>
      <c r="G42" s="35" t="s">
        <v>210</v>
      </c>
    </row>
    <row r="43" spans="1:28" x14ac:dyDescent="0.2">
      <c r="B43" s="25"/>
      <c r="C43" s="25"/>
      <c r="D43" s="23"/>
      <c r="E43" s="23"/>
      <c r="F43" s="107"/>
      <c r="G43" s="23"/>
    </row>
    <row r="44" spans="1:28" ht="15.75" x14ac:dyDescent="0.25">
      <c r="A44" s="34" t="s">
        <v>618</v>
      </c>
      <c r="B44" s="26" t="s">
        <v>112</v>
      </c>
      <c r="C44" s="26" t="s">
        <v>11</v>
      </c>
      <c r="D44" s="26" t="s">
        <v>200</v>
      </c>
      <c r="E44" s="26" t="s">
        <v>6</v>
      </c>
      <c r="F44" s="26" t="s">
        <v>470</v>
      </c>
      <c r="G44" s="115" t="s">
        <v>585</v>
      </c>
      <c r="W44" s="25"/>
      <c r="X44" s="25"/>
      <c r="Y44" s="25"/>
      <c r="Z44" s="25"/>
      <c r="AA44" s="25"/>
      <c r="AB44" s="25"/>
    </row>
    <row r="45" spans="1:28" s="23" customFormat="1" x14ac:dyDescent="0.2">
      <c r="A45" s="22" t="s">
        <v>563</v>
      </c>
      <c r="B45" s="84">
        <f t="shared" ref="B45:B46" ca="1" si="3">TODAY()</f>
        <v>45945</v>
      </c>
      <c r="C45" s="22">
        <v>14</v>
      </c>
      <c r="D45" s="20">
        <f t="shared" ref="D45:D46" ca="1" si="4">SUM(B45+C45)</f>
        <v>45959</v>
      </c>
      <c r="E45" s="126" t="s">
        <v>55</v>
      </c>
      <c r="F45" s="127"/>
      <c r="G45" s="22"/>
    </row>
    <row r="46" spans="1:28" s="23" customFormat="1" x14ac:dyDescent="0.2">
      <c r="A46" s="22" t="s">
        <v>564</v>
      </c>
      <c r="B46" s="84">
        <f t="shared" ca="1" si="3"/>
        <v>45945</v>
      </c>
      <c r="C46" s="22">
        <v>14</v>
      </c>
      <c r="D46" s="20">
        <f t="shared" ca="1" si="4"/>
        <v>45959</v>
      </c>
      <c r="E46" s="126" t="s">
        <v>55</v>
      </c>
      <c r="F46" s="127"/>
      <c r="G46" s="22"/>
    </row>
    <row r="47" spans="1:28" x14ac:dyDescent="0.2">
      <c r="B47" s="25"/>
      <c r="C47" s="25"/>
      <c r="D47" s="23"/>
      <c r="E47" s="23"/>
      <c r="F47" s="107"/>
      <c r="G47" s="23"/>
    </row>
    <row r="48" spans="1:28" ht="15.75" x14ac:dyDescent="0.25">
      <c r="A48" s="268" t="s">
        <v>1</v>
      </c>
      <c r="B48" s="268"/>
      <c r="C48" s="268"/>
      <c r="D48" s="268"/>
      <c r="E48" s="268"/>
      <c r="F48" s="268"/>
      <c r="G48" s="268"/>
    </row>
    <row r="49" spans="1:8" ht="15.75" x14ac:dyDescent="0.25">
      <c r="A49" s="34" t="s">
        <v>17</v>
      </c>
      <c r="B49" s="26" t="s">
        <v>112</v>
      </c>
      <c r="C49" s="26" t="s">
        <v>11</v>
      </c>
      <c r="D49" s="26" t="s">
        <v>200</v>
      </c>
      <c r="E49" s="26" t="s">
        <v>6</v>
      </c>
      <c r="F49" s="108"/>
      <c r="G49" s="115" t="s">
        <v>462</v>
      </c>
    </row>
    <row r="50" spans="1:8" x14ac:dyDescent="0.2">
      <c r="A50" s="12">
        <v>14</v>
      </c>
      <c r="B50" s="84">
        <f ca="1">TODAY()</f>
        <v>45945</v>
      </c>
      <c r="C50" s="12">
        <v>14</v>
      </c>
      <c r="D50" s="21">
        <f ca="1">SUM(B50+C50)</f>
        <v>45959</v>
      </c>
      <c r="E50" s="27" t="s">
        <v>56</v>
      </c>
      <c r="F50" s="90"/>
      <c r="G50" s="119" t="s">
        <v>224</v>
      </c>
      <c r="H50" s="23"/>
    </row>
    <row r="51" spans="1:8" x14ac:dyDescent="0.2">
      <c r="A51" s="85">
        <v>15</v>
      </c>
      <c r="B51" s="25"/>
      <c r="C51" s="23"/>
      <c r="D51" s="23"/>
      <c r="E51" s="86" t="s">
        <v>56</v>
      </c>
      <c r="F51" s="128"/>
      <c r="G51" s="119" t="s">
        <v>225</v>
      </c>
      <c r="H51" s="23"/>
    </row>
    <row r="52" spans="1:8" x14ac:dyDescent="0.2">
      <c r="A52" s="12">
        <v>16</v>
      </c>
      <c r="C52" s="23"/>
      <c r="D52" s="23"/>
      <c r="E52" s="27" t="s">
        <v>56</v>
      </c>
      <c r="F52" s="90"/>
      <c r="G52" s="119" t="s">
        <v>226</v>
      </c>
      <c r="H52" s="23"/>
    </row>
    <row r="53" spans="1:8" x14ac:dyDescent="0.2">
      <c r="A53" s="12">
        <v>17</v>
      </c>
      <c r="C53" s="23"/>
      <c r="D53" s="23"/>
      <c r="E53" s="27" t="s">
        <v>56</v>
      </c>
      <c r="F53" s="90"/>
      <c r="G53" s="119" t="s">
        <v>227</v>
      </c>
      <c r="H53" s="23"/>
    </row>
    <row r="54" spans="1:8" x14ac:dyDescent="0.2">
      <c r="A54" s="12">
        <v>18</v>
      </c>
      <c r="B54" s="25"/>
      <c r="C54" s="23"/>
      <c r="D54" s="23"/>
      <c r="E54" s="27" t="s">
        <v>56</v>
      </c>
      <c r="F54" s="90"/>
      <c r="G54" s="119" t="s">
        <v>228</v>
      </c>
    </row>
    <row r="55" spans="1:8" x14ac:dyDescent="0.2">
      <c r="A55" s="12">
        <v>19</v>
      </c>
      <c r="B55" s="25"/>
      <c r="C55" s="23"/>
      <c r="D55" s="23"/>
      <c r="E55" s="27" t="s">
        <v>56</v>
      </c>
      <c r="F55" s="90"/>
      <c r="G55" s="119" t="s">
        <v>229</v>
      </c>
    </row>
    <row r="56" spans="1:8" x14ac:dyDescent="0.2">
      <c r="A56" s="12">
        <v>20</v>
      </c>
      <c r="B56" s="25"/>
      <c r="C56" s="23"/>
      <c r="D56" s="23"/>
      <c r="E56" s="27" t="s">
        <v>56</v>
      </c>
      <c r="F56" s="90"/>
      <c r="G56" s="119" t="s">
        <v>230</v>
      </c>
    </row>
    <row r="57" spans="1:8" x14ac:dyDescent="0.2">
      <c r="A57" s="12">
        <v>21</v>
      </c>
      <c r="B57" s="25"/>
      <c r="C57" s="23"/>
      <c r="D57" s="23"/>
      <c r="E57" s="27" t="s">
        <v>56</v>
      </c>
      <c r="F57" s="90"/>
      <c r="G57" s="119" t="s">
        <v>231</v>
      </c>
    </row>
    <row r="58" spans="1:8" x14ac:dyDescent="0.2">
      <c r="A58" s="12">
        <v>22</v>
      </c>
      <c r="B58" s="25"/>
      <c r="C58" s="23"/>
      <c r="D58" s="23"/>
      <c r="E58" s="27" t="s">
        <v>56</v>
      </c>
      <c r="F58" s="90"/>
      <c r="G58" s="119" t="s">
        <v>232</v>
      </c>
    </row>
    <row r="59" spans="1:8" x14ac:dyDescent="0.2">
      <c r="A59" s="12">
        <v>23</v>
      </c>
      <c r="B59" s="25"/>
      <c r="C59" s="23"/>
      <c r="D59" s="23"/>
      <c r="E59" s="27" t="s">
        <v>56</v>
      </c>
      <c r="F59" s="90"/>
      <c r="G59" s="119" t="s">
        <v>233</v>
      </c>
    </row>
    <row r="60" spans="1:8" x14ac:dyDescent="0.2">
      <c r="A60" s="12">
        <v>24</v>
      </c>
      <c r="B60" s="25"/>
      <c r="C60" s="23"/>
      <c r="D60" s="23"/>
      <c r="E60" s="27" t="s">
        <v>56</v>
      </c>
      <c r="F60" s="90"/>
      <c r="G60" s="119" t="s">
        <v>234</v>
      </c>
    </row>
  </sheetData>
  <mergeCells count="3">
    <mergeCell ref="A48:G48"/>
    <mergeCell ref="A9:G9"/>
    <mergeCell ref="A21:G21"/>
  </mergeCells>
  <dataValidations count="3">
    <dataValidation type="list" allowBlank="1" showInputMessage="1" showErrorMessage="1" sqref="E50:E60 E38:E42 E45:E46 E30:E33 E27:E28 E35:E36 E23:E25 E18:E20" xr:uid="{940F76C9-595A-4CC2-8888-B56611137F26}">
      <formula1>"Untrained, In Progress, Retrain, Trained,Proficient"</formula1>
    </dataValidation>
    <dataValidation type="list" allowBlank="1" showInputMessage="1" showErrorMessage="1" sqref="B3" xr:uid="{E8154EE3-4E84-4FA5-9AF6-2077D7B8E93F}">
      <formula1>"Blue Stripe, Blue Belt"</formula1>
    </dataValidation>
    <dataValidation type="list" allowBlank="1" showInputMessage="1" showErrorMessage="1" sqref="B6:B7" xr:uid="{502B6605-3279-4C99-8B89-5A5413FB8CB1}">
      <formula1>"Yes,No"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AA06-DAC6-4866-893F-F6D9A7C07E28}">
  <dimension ref="A1:AB60"/>
  <sheetViews>
    <sheetView zoomScale="85" zoomScaleNormal="85" workbookViewId="0">
      <selection activeCell="B3" sqref="B3"/>
    </sheetView>
  </sheetViews>
  <sheetFormatPr defaultColWidth="8.85546875" defaultRowHeight="14.25" x14ac:dyDescent="0.2"/>
  <cols>
    <col min="1" max="1" width="37.140625" style="9" bestFit="1" customWidth="1"/>
    <col min="2" max="2" width="30" style="9" bestFit="1" customWidth="1"/>
    <col min="3" max="3" width="17" style="9" bestFit="1" customWidth="1"/>
    <col min="4" max="4" width="20.42578125" style="9" bestFit="1" customWidth="1"/>
    <col min="5" max="5" width="9.85546875" style="9" bestFit="1" customWidth="1"/>
    <col min="6" max="6" width="18.42578125" style="9" bestFit="1" customWidth="1"/>
    <col min="7" max="7" width="26.85546875" style="9" bestFit="1" customWidth="1"/>
    <col min="8" max="8" width="127.140625" style="9" bestFit="1" customWidth="1"/>
    <col min="9" max="16384" width="8.85546875" style="9"/>
  </cols>
  <sheetData>
    <row r="1" spans="1:22" ht="15" x14ac:dyDescent="0.2">
      <c r="A1" s="19" t="s">
        <v>88</v>
      </c>
      <c r="B1" s="39"/>
      <c r="C1" s="19" t="s">
        <v>87</v>
      </c>
      <c r="D1" s="21">
        <f ca="1">TODAY()</f>
        <v>45945</v>
      </c>
      <c r="E1" s="23"/>
      <c r="F1" s="23"/>
      <c r="G1" s="23"/>
      <c r="H1" s="25"/>
    </row>
    <row r="2" spans="1:22" ht="15" x14ac:dyDescent="0.2">
      <c r="A2" s="19" t="s">
        <v>78</v>
      </c>
      <c r="B2" s="234" t="s">
        <v>15</v>
      </c>
      <c r="C2" s="19" t="s">
        <v>5</v>
      </c>
      <c r="D2" s="21">
        <f>VLOOKUP(B3,Target,4,0)</f>
        <v>44117</v>
      </c>
      <c r="F2" s="23"/>
      <c r="G2" s="23"/>
      <c r="H2" s="25"/>
    </row>
    <row r="3" spans="1:22" ht="20.25" x14ac:dyDescent="0.3">
      <c r="A3" s="19" t="s">
        <v>70</v>
      </c>
      <c r="B3" s="235" t="s">
        <v>18</v>
      </c>
      <c r="C3" s="19" t="s">
        <v>12</v>
      </c>
      <c r="D3" s="22">
        <f ca="1">SUM(D2-(TODAY()))</f>
        <v>-1828</v>
      </c>
      <c r="E3" s="23"/>
      <c r="F3" s="23"/>
      <c r="G3" s="23"/>
      <c r="H3" s="25"/>
    </row>
    <row r="4" spans="1:22" ht="15" x14ac:dyDescent="0.2">
      <c r="A4" s="25"/>
      <c r="B4" s="25"/>
      <c r="C4" s="23"/>
      <c r="D4" s="23"/>
      <c r="E4" s="23"/>
      <c r="F4" s="23"/>
      <c r="G4" s="23"/>
      <c r="H4" s="25"/>
    </row>
    <row r="5" spans="1:22" s="25" customFormat="1" ht="20.25" x14ac:dyDescent="0.3">
      <c r="A5" s="236" t="s">
        <v>104</v>
      </c>
      <c r="B5" s="31" t="s">
        <v>595</v>
      </c>
      <c r="C5" s="91"/>
      <c r="D5" s="91"/>
      <c r="E5" s="91"/>
      <c r="F5" s="91"/>
      <c r="G5" s="91"/>
    </row>
    <row r="6" spans="1:22" s="25" customFormat="1" ht="15.75" x14ac:dyDescent="0.25">
      <c r="A6" s="34" t="s">
        <v>21</v>
      </c>
      <c r="B6" s="31"/>
      <c r="C6" s="91"/>
      <c r="D6" s="91"/>
      <c r="E6" s="91"/>
      <c r="F6" s="91"/>
      <c r="G6" s="91"/>
    </row>
    <row r="7" spans="1:22" s="25" customFormat="1" ht="15.75" x14ac:dyDescent="0.25">
      <c r="A7" s="130" t="s">
        <v>20</v>
      </c>
      <c r="B7" s="31"/>
      <c r="C7" s="91"/>
      <c r="D7" s="91"/>
      <c r="E7" s="91"/>
      <c r="F7" s="91"/>
      <c r="G7" s="91"/>
    </row>
    <row r="8" spans="1:22" ht="15" x14ac:dyDescent="0.2">
      <c r="A8" s="25"/>
      <c r="B8" s="25"/>
      <c r="C8" s="23"/>
      <c r="D8" s="23"/>
      <c r="E8" s="23"/>
      <c r="F8" s="23"/>
      <c r="G8" s="23"/>
      <c r="H8" s="25"/>
    </row>
    <row r="9" spans="1:22" s="7" customFormat="1" ht="15.75" x14ac:dyDescent="0.25">
      <c r="A9" s="266" t="s">
        <v>348</v>
      </c>
      <c r="B9" s="267"/>
      <c r="C9" s="267"/>
      <c r="D9" s="267"/>
      <c r="E9" s="267"/>
      <c r="F9" s="267"/>
      <c r="G9" s="267"/>
      <c r="H9" s="269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 s="25" customFormat="1" ht="15.75" x14ac:dyDescent="0.25">
      <c r="A10" s="34" t="s">
        <v>333</v>
      </c>
      <c r="B10" s="26" t="s">
        <v>112</v>
      </c>
      <c r="C10" s="26" t="s">
        <v>11</v>
      </c>
      <c r="D10" s="26" t="s">
        <v>200</v>
      </c>
      <c r="E10" s="26" t="s">
        <v>6</v>
      </c>
      <c r="F10" s="26" t="s">
        <v>470</v>
      </c>
      <c r="G10" s="258" t="s">
        <v>585</v>
      </c>
      <c r="H10" s="258"/>
    </row>
    <row r="11" spans="1:22" s="25" customFormat="1" ht="15.75" x14ac:dyDescent="0.25">
      <c r="A11" s="37" t="s">
        <v>493</v>
      </c>
      <c r="B11" s="101"/>
      <c r="C11" s="101"/>
      <c r="D11" s="101"/>
      <c r="E11" s="101"/>
      <c r="F11" s="36"/>
      <c r="G11" s="37"/>
      <c r="H11" s="37"/>
    </row>
    <row r="12" spans="1:22" s="25" customFormat="1" ht="15.75" x14ac:dyDescent="0.25">
      <c r="A12" s="34" t="s">
        <v>499</v>
      </c>
      <c r="B12" s="26" t="s">
        <v>112</v>
      </c>
      <c r="C12" s="26" t="s">
        <v>11</v>
      </c>
      <c r="D12" s="26" t="s">
        <v>200</v>
      </c>
      <c r="E12" s="26" t="s">
        <v>6</v>
      </c>
      <c r="F12" s="26" t="s">
        <v>470</v>
      </c>
      <c r="G12" s="258" t="s">
        <v>585</v>
      </c>
      <c r="H12" s="258"/>
    </row>
    <row r="13" spans="1:22" s="25" customFormat="1" ht="15.75" x14ac:dyDescent="0.25">
      <c r="A13" s="37" t="s">
        <v>509</v>
      </c>
      <c r="B13" s="101"/>
      <c r="C13" s="101"/>
      <c r="D13" s="101"/>
      <c r="E13" s="101"/>
      <c r="F13" s="36"/>
      <c r="G13" s="102"/>
      <c r="H13" s="37"/>
    </row>
    <row r="14" spans="1:22" s="25" customFormat="1" ht="15.75" x14ac:dyDescent="0.25">
      <c r="A14" s="34" t="s">
        <v>498</v>
      </c>
      <c r="B14" s="26" t="s">
        <v>112</v>
      </c>
      <c r="C14" s="26" t="s">
        <v>11</v>
      </c>
      <c r="D14" s="26" t="s">
        <v>200</v>
      </c>
      <c r="E14" s="26" t="s">
        <v>6</v>
      </c>
      <c r="F14" s="26" t="s">
        <v>470</v>
      </c>
      <c r="G14" s="258" t="s">
        <v>585</v>
      </c>
      <c r="H14" s="258"/>
    </row>
    <row r="15" spans="1:22" s="25" customFormat="1" ht="15.75" x14ac:dyDescent="0.25">
      <c r="A15" s="37" t="s">
        <v>508</v>
      </c>
      <c r="B15" s="101"/>
      <c r="C15" s="101"/>
      <c r="D15" s="101"/>
      <c r="E15" s="101"/>
      <c r="F15" s="36"/>
      <c r="G15" s="102"/>
      <c r="H15" s="37"/>
    </row>
    <row r="16" spans="1:22" s="25" customFormat="1" ht="15.75" x14ac:dyDescent="0.25">
      <c r="A16" s="34" t="s">
        <v>497</v>
      </c>
      <c r="B16" s="26" t="s">
        <v>112</v>
      </c>
      <c r="C16" s="26" t="s">
        <v>11</v>
      </c>
      <c r="D16" s="26" t="s">
        <v>200</v>
      </c>
      <c r="E16" s="26" t="s">
        <v>6</v>
      </c>
      <c r="F16" s="26" t="s">
        <v>470</v>
      </c>
      <c r="G16" s="258" t="s">
        <v>585</v>
      </c>
      <c r="H16" s="258"/>
    </row>
    <row r="17" spans="1:28" s="25" customFormat="1" ht="15.75" x14ac:dyDescent="0.25">
      <c r="A17" s="130"/>
      <c r="B17" s="101"/>
      <c r="C17" s="101"/>
      <c r="D17" s="101"/>
      <c r="E17" s="101"/>
      <c r="F17" s="36"/>
      <c r="G17" s="102"/>
      <c r="H17" s="37"/>
    </row>
    <row r="18" spans="1:28" s="25" customFormat="1" ht="15.75" x14ac:dyDescent="0.25">
      <c r="A18" s="34" t="s">
        <v>348</v>
      </c>
      <c r="B18" s="26" t="s">
        <v>112</v>
      </c>
      <c r="C18" s="26" t="s">
        <v>11</v>
      </c>
      <c r="D18" s="26" t="s">
        <v>200</v>
      </c>
      <c r="E18" s="26" t="s">
        <v>6</v>
      </c>
      <c r="F18" s="26" t="s">
        <v>470</v>
      </c>
      <c r="G18" s="258" t="s">
        <v>585</v>
      </c>
      <c r="H18" s="258"/>
    </row>
    <row r="19" spans="1:28" s="25" customFormat="1" ht="15.75" x14ac:dyDescent="0.25">
      <c r="A19" s="130"/>
      <c r="B19" s="101"/>
      <c r="C19" s="101"/>
      <c r="D19" s="101"/>
      <c r="E19" s="101"/>
      <c r="F19" s="36"/>
      <c r="G19" s="276"/>
      <c r="H19" s="276"/>
    </row>
    <row r="20" spans="1:28" s="25" customFormat="1" ht="15.75" x14ac:dyDescent="0.25">
      <c r="A20" s="130"/>
      <c r="B20" s="101"/>
      <c r="C20" s="101"/>
      <c r="D20" s="101"/>
      <c r="E20" s="101"/>
      <c r="F20" s="36"/>
      <c r="G20" s="276"/>
      <c r="H20" s="276"/>
    </row>
    <row r="21" spans="1:28" s="92" customFormat="1" ht="15" x14ac:dyDescent="0.2">
      <c r="A21" s="270"/>
      <c r="B21" s="271"/>
      <c r="C21" s="271"/>
      <c r="D21" s="271"/>
      <c r="E21" s="271"/>
      <c r="F21" s="271"/>
      <c r="G21" s="271"/>
      <c r="H21" s="272"/>
    </row>
    <row r="22" spans="1:28" ht="15.75" x14ac:dyDescent="0.25">
      <c r="A22" s="266" t="s">
        <v>0</v>
      </c>
      <c r="B22" s="267"/>
      <c r="C22" s="267"/>
      <c r="D22" s="267"/>
      <c r="E22" s="267"/>
      <c r="F22" s="267"/>
      <c r="G22" s="267"/>
      <c r="H22" s="269"/>
    </row>
    <row r="23" spans="1:28" s="7" customFormat="1" ht="15.75" x14ac:dyDescent="0.25">
      <c r="A23" s="34" t="s">
        <v>557</v>
      </c>
      <c r="B23" s="26" t="s">
        <v>112</v>
      </c>
      <c r="C23" s="26" t="s">
        <v>11</v>
      </c>
      <c r="D23" s="26" t="s">
        <v>200</v>
      </c>
      <c r="E23" s="26" t="s">
        <v>6</v>
      </c>
      <c r="F23" s="26" t="s">
        <v>470</v>
      </c>
      <c r="G23" s="258" t="s">
        <v>547</v>
      </c>
      <c r="H23" s="258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s="7" customFormat="1" ht="15" x14ac:dyDescent="0.2">
      <c r="A24" s="12">
        <v>9</v>
      </c>
      <c r="B24" s="21">
        <f t="shared" ref="B24:B25" ca="1" si="0">TODAY()</f>
        <v>45945</v>
      </c>
      <c r="C24" s="12">
        <v>14</v>
      </c>
      <c r="D24" s="21">
        <f t="shared" ref="D24" ca="1" si="1">SUM(B24+C24)</f>
        <v>45959</v>
      </c>
      <c r="E24" s="12" t="s">
        <v>56</v>
      </c>
      <c r="F24" s="35"/>
      <c r="G24" s="275"/>
      <c r="H24" s="27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s="7" customFormat="1" ht="15" x14ac:dyDescent="0.2">
      <c r="A25" s="12">
        <v>10</v>
      </c>
      <c r="B25" s="21">
        <f t="shared" ca="1" si="0"/>
        <v>45945</v>
      </c>
      <c r="C25" s="12">
        <v>14</v>
      </c>
      <c r="D25" s="21">
        <f t="shared" ref="D25" ca="1" si="2">SUM(B25+C25)</f>
        <v>45959</v>
      </c>
      <c r="E25" s="12" t="s">
        <v>56</v>
      </c>
      <c r="F25" s="35"/>
      <c r="G25" s="275"/>
      <c r="H25" s="27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s="92" customFormat="1" ht="15" x14ac:dyDescent="0.2">
      <c r="A26" s="270"/>
      <c r="B26" s="271"/>
      <c r="C26" s="271"/>
      <c r="D26" s="271"/>
      <c r="E26" s="271"/>
      <c r="F26" s="271"/>
      <c r="G26" s="271"/>
      <c r="H26" s="272"/>
    </row>
    <row r="27" spans="1:28" s="7" customFormat="1" ht="15.75" x14ac:dyDescent="0.25">
      <c r="A27" s="34" t="s">
        <v>426</v>
      </c>
      <c r="B27" s="26" t="s">
        <v>112</v>
      </c>
      <c r="C27" s="26" t="s">
        <v>11</v>
      </c>
      <c r="D27" s="26" t="s">
        <v>200</v>
      </c>
      <c r="E27" s="26" t="s">
        <v>6</v>
      </c>
      <c r="F27" s="26" t="s">
        <v>470</v>
      </c>
      <c r="G27" s="258" t="s">
        <v>427</v>
      </c>
      <c r="H27" s="258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s="7" customFormat="1" ht="15" x14ac:dyDescent="0.2">
      <c r="A28" s="35" t="s">
        <v>456</v>
      </c>
      <c r="B28" s="21">
        <f t="shared" ref="B28:B29" ca="1" si="3">TODAY()</f>
        <v>45945</v>
      </c>
      <c r="C28" s="12">
        <v>14</v>
      </c>
      <c r="D28" s="21">
        <f ca="1">SUM(B28+C28)</f>
        <v>45959</v>
      </c>
      <c r="E28" s="12" t="s">
        <v>56</v>
      </c>
      <c r="F28" s="35" t="s">
        <v>455</v>
      </c>
      <c r="G28" s="275"/>
      <c r="H28" s="27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s="7" customFormat="1" ht="15" x14ac:dyDescent="0.2">
      <c r="A29" s="35" t="s">
        <v>434</v>
      </c>
      <c r="B29" s="21">
        <f t="shared" ca="1" si="3"/>
        <v>45945</v>
      </c>
      <c r="C29" s="12">
        <v>14</v>
      </c>
      <c r="D29" s="21">
        <f ca="1">SUM(B29+C29)</f>
        <v>45959</v>
      </c>
      <c r="E29" s="12" t="s">
        <v>56</v>
      </c>
      <c r="F29" s="35" t="s">
        <v>440</v>
      </c>
      <c r="G29" s="275"/>
      <c r="H29" s="27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5" x14ac:dyDescent="0.2">
      <c r="A30" s="37"/>
      <c r="B30" s="37"/>
      <c r="C30" s="22"/>
      <c r="D30" s="22"/>
      <c r="E30" s="22"/>
      <c r="F30" s="22"/>
      <c r="G30" s="264"/>
      <c r="H30" s="265"/>
    </row>
    <row r="31" spans="1:28" s="25" customFormat="1" ht="15.75" x14ac:dyDescent="0.25">
      <c r="A31" s="34" t="s">
        <v>393</v>
      </c>
      <c r="B31" s="26" t="s">
        <v>112</v>
      </c>
      <c r="C31" s="26" t="s">
        <v>11</v>
      </c>
      <c r="D31" s="26" t="s">
        <v>200</v>
      </c>
      <c r="E31" s="26" t="s">
        <v>6</v>
      </c>
      <c r="F31" s="26" t="s">
        <v>470</v>
      </c>
      <c r="G31" s="258" t="s">
        <v>466</v>
      </c>
      <c r="H31" s="258"/>
    </row>
    <row r="32" spans="1:28" s="25" customFormat="1" ht="15" x14ac:dyDescent="0.2">
      <c r="A32" s="12">
        <v>24</v>
      </c>
      <c r="B32" s="21">
        <f ca="1">TODAY()</f>
        <v>45945</v>
      </c>
      <c r="C32" s="12">
        <v>18</v>
      </c>
      <c r="D32" s="21">
        <f ca="1">SUM(B32+C32)</f>
        <v>45963</v>
      </c>
      <c r="E32" s="12" t="s">
        <v>56</v>
      </c>
      <c r="F32" s="35" t="s">
        <v>411</v>
      </c>
      <c r="G32" s="275"/>
      <c r="H32" s="275"/>
    </row>
    <row r="33" spans="1:8" s="25" customFormat="1" ht="15" x14ac:dyDescent="0.2">
      <c r="A33" s="12">
        <v>15</v>
      </c>
      <c r="B33" s="21">
        <f ca="1">TODAY()</f>
        <v>45945</v>
      </c>
      <c r="C33" s="12">
        <v>14</v>
      </c>
      <c r="D33" s="21">
        <f ca="1">SUM(B33+C33)</f>
        <v>45959</v>
      </c>
      <c r="E33" s="12" t="s">
        <v>56</v>
      </c>
      <c r="F33" s="35" t="s">
        <v>546</v>
      </c>
      <c r="G33" s="275"/>
      <c r="H33" s="275"/>
    </row>
    <row r="34" spans="1:8" s="25" customFormat="1" ht="15" x14ac:dyDescent="0.2">
      <c r="A34" s="12">
        <v>17</v>
      </c>
      <c r="B34" s="21">
        <f ca="1">TODAY()</f>
        <v>45945</v>
      </c>
      <c r="C34" s="12">
        <v>14</v>
      </c>
      <c r="D34" s="21">
        <f ca="1">SUM(B34+C34)</f>
        <v>45959</v>
      </c>
      <c r="E34" s="12" t="s">
        <v>56</v>
      </c>
      <c r="F34" s="35" t="s">
        <v>403</v>
      </c>
      <c r="G34" s="275"/>
      <c r="H34" s="275"/>
    </row>
    <row r="35" spans="1:8" s="25" customFormat="1" ht="15" x14ac:dyDescent="0.2">
      <c r="A35" s="12">
        <v>18</v>
      </c>
      <c r="B35" s="21">
        <f ca="1">TODAY()</f>
        <v>45945</v>
      </c>
      <c r="C35" s="12">
        <v>14</v>
      </c>
      <c r="D35" s="21">
        <f ca="1">SUM(B35+C35)</f>
        <v>45959</v>
      </c>
      <c r="E35" s="12" t="s">
        <v>56</v>
      </c>
      <c r="F35" s="35" t="s">
        <v>404</v>
      </c>
      <c r="G35" s="275"/>
      <c r="H35" s="275"/>
    </row>
    <row r="36" spans="1:8" s="92" customFormat="1" ht="15" x14ac:dyDescent="0.2">
      <c r="A36" s="270"/>
      <c r="B36" s="271"/>
      <c r="C36" s="271"/>
      <c r="D36" s="271"/>
      <c r="E36" s="271"/>
      <c r="F36" s="271"/>
      <c r="G36" s="271"/>
      <c r="H36" s="272"/>
    </row>
    <row r="37" spans="1:8" s="25" customFormat="1" ht="15.75" x14ac:dyDescent="0.25">
      <c r="A37" s="34" t="s">
        <v>438</v>
      </c>
      <c r="B37" s="26" t="s">
        <v>112</v>
      </c>
      <c r="C37" s="26" t="s">
        <v>11</v>
      </c>
      <c r="D37" s="26" t="s">
        <v>200</v>
      </c>
      <c r="E37" s="26" t="s">
        <v>6</v>
      </c>
      <c r="F37" s="26" t="s">
        <v>470</v>
      </c>
      <c r="G37" s="258" t="s">
        <v>467</v>
      </c>
      <c r="H37" s="258"/>
    </row>
    <row r="38" spans="1:8" s="25" customFormat="1" ht="15" x14ac:dyDescent="0.2">
      <c r="A38" s="35" t="s">
        <v>424</v>
      </c>
      <c r="B38" s="21">
        <f ca="1">TODAY()</f>
        <v>45945</v>
      </c>
      <c r="C38" s="12">
        <v>14</v>
      </c>
      <c r="D38" s="21">
        <f ca="1">SUM(B38+C38)</f>
        <v>45959</v>
      </c>
      <c r="E38" s="12" t="s">
        <v>56</v>
      </c>
      <c r="F38" s="35" t="s">
        <v>424</v>
      </c>
      <c r="G38" s="275"/>
      <c r="H38" s="275"/>
    </row>
    <row r="39" spans="1:8" s="25" customFormat="1" ht="15" x14ac:dyDescent="0.2">
      <c r="A39" s="35" t="s">
        <v>519</v>
      </c>
      <c r="B39" s="21">
        <f ca="1">TODAY()</f>
        <v>45945</v>
      </c>
      <c r="C39" s="12">
        <v>14</v>
      </c>
      <c r="D39" s="21">
        <f ca="1">SUM(B39+C39)</f>
        <v>45959</v>
      </c>
      <c r="E39" s="12" t="s">
        <v>56</v>
      </c>
      <c r="F39" s="35" t="s">
        <v>519</v>
      </c>
      <c r="G39" s="275"/>
      <c r="H39" s="275"/>
    </row>
    <row r="40" spans="1:8" s="92" customFormat="1" ht="15" x14ac:dyDescent="0.2">
      <c r="A40" s="270"/>
      <c r="B40" s="271"/>
      <c r="C40" s="271"/>
      <c r="D40" s="271"/>
      <c r="E40" s="271"/>
      <c r="F40" s="271"/>
      <c r="G40" s="271"/>
      <c r="H40" s="272"/>
    </row>
    <row r="41" spans="1:8" ht="15.75" x14ac:dyDescent="0.25">
      <c r="A41" s="34" t="s">
        <v>617</v>
      </c>
      <c r="B41" s="26" t="s">
        <v>112</v>
      </c>
      <c r="C41" s="26" t="s">
        <v>11</v>
      </c>
      <c r="D41" s="26" t="s">
        <v>200</v>
      </c>
      <c r="E41" s="26" t="s">
        <v>6</v>
      </c>
      <c r="F41" s="26" t="s">
        <v>470</v>
      </c>
      <c r="G41" s="26" t="s">
        <v>235</v>
      </c>
      <c r="H41" s="26" t="s">
        <v>235</v>
      </c>
    </row>
    <row r="42" spans="1:8" ht="15" x14ac:dyDescent="0.2">
      <c r="A42" s="12">
        <v>1</v>
      </c>
      <c r="B42" s="84">
        <f t="shared" ref="B42:B47" ca="1" si="4">TODAY()</f>
        <v>45945</v>
      </c>
      <c r="C42" s="12">
        <v>14</v>
      </c>
      <c r="D42" s="21">
        <f t="shared" ref="D42" ca="1" si="5">SUM(B42+C42)</f>
        <v>45959</v>
      </c>
      <c r="E42" s="27" t="s">
        <v>55</v>
      </c>
      <c r="F42" s="27" t="s">
        <v>269</v>
      </c>
      <c r="G42" s="12" t="s">
        <v>236</v>
      </c>
      <c r="H42" s="35" t="s">
        <v>248</v>
      </c>
    </row>
    <row r="43" spans="1:8" ht="15" x14ac:dyDescent="0.2">
      <c r="A43" s="12">
        <v>2</v>
      </c>
      <c r="B43" s="84">
        <f t="shared" ca="1" si="4"/>
        <v>45945</v>
      </c>
      <c r="C43" s="12">
        <v>14</v>
      </c>
      <c r="D43" s="21">
        <f t="shared" ref="D43:D47" ca="1" si="6">SUM(B43+C43)</f>
        <v>45959</v>
      </c>
      <c r="E43" s="27" t="s">
        <v>55</v>
      </c>
      <c r="F43" s="27" t="s">
        <v>270</v>
      </c>
      <c r="G43" s="12" t="s">
        <v>237</v>
      </c>
      <c r="H43" s="35" t="s">
        <v>247</v>
      </c>
    </row>
    <row r="44" spans="1:8" ht="15" x14ac:dyDescent="0.2">
      <c r="A44" s="12">
        <v>3</v>
      </c>
      <c r="B44" s="84">
        <f t="shared" ca="1" si="4"/>
        <v>45945</v>
      </c>
      <c r="C44" s="12">
        <v>14</v>
      </c>
      <c r="D44" s="21">
        <f t="shared" ca="1" si="6"/>
        <v>45959</v>
      </c>
      <c r="E44" s="27" t="s">
        <v>55</v>
      </c>
      <c r="F44" s="27" t="s">
        <v>268</v>
      </c>
      <c r="G44" s="12" t="s">
        <v>238</v>
      </c>
      <c r="H44" s="35" t="s">
        <v>248</v>
      </c>
    </row>
    <row r="45" spans="1:8" ht="15" x14ac:dyDescent="0.2">
      <c r="A45" s="12">
        <v>4</v>
      </c>
      <c r="B45" s="84">
        <f t="shared" ca="1" si="4"/>
        <v>45945</v>
      </c>
      <c r="C45" s="12">
        <v>14</v>
      </c>
      <c r="D45" s="21">
        <f t="shared" ca="1" si="6"/>
        <v>45959</v>
      </c>
      <c r="E45" s="27" t="s">
        <v>55</v>
      </c>
      <c r="F45" s="27" t="s">
        <v>271</v>
      </c>
      <c r="G45" s="12" t="s">
        <v>239</v>
      </c>
      <c r="H45" s="35" t="s">
        <v>249</v>
      </c>
    </row>
    <row r="46" spans="1:8" ht="15" x14ac:dyDescent="0.2">
      <c r="A46" s="12">
        <v>5</v>
      </c>
      <c r="B46" s="84">
        <f t="shared" ca="1" si="4"/>
        <v>45945</v>
      </c>
      <c r="C46" s="12">
        <v>14</v>
      </c>
      <c r="D46" s="21">
        <f t="shared" ca="1" si="6"/>
        <v>45959</v>
      </c>
      <c r="E46" s="27" t="s">
        <v>55</v>
      </c>
      <c r="F46" s="27" t="s">
        <v>266</v>
      </c>
      <c r="G46" s="12" t="s">
        <v>240</v>
      </c>
      <c r="H46" s="35" t="s">
        <v>247</v>
      </c>
    </row>
    <row r="47" spans="1:8" ht="15" x14ac:dyDescent="0.2">
      <c r="A47" s="12">
        <v>6</v>
      </c>
      <c r="B47" s="84">
        <f t="shared" ca="1" si="4"/>
        <v>45945</v>
      </c>
      <c r="C47" s="12">
        <v>14</v>
      </c>
      <c r="D47" s="21">
        <f t="shared" ca="1" si="6"/>
        <v>45959</v>
      </c>
      <c r="E47" s="27" t="s">
        <v>55</v>
      </c>
      <c r="F47" s="89" t="s">
        <v>272</v>
      </c>
      <c r="G47" s="12" t="s">
        <v>241</v>
      </c>
      <c r="H47" s="35" t="s">
        <v>250</v>
      </c>
    </row>
    <row r="48" spans="1:8" s="92" customFormat="1" ht="15" x14ac:dyDescent="0.2">
      <c r="A48" s="270"/>
      <c r="B48" s="271"/>
      <c r="C48" s="271"/>
      <c r="D48" s="271"/>
      <c r="E48" s="271"/>
      <c r="F48" s="271"/>
      <c r="G48" s="271"/>
      <c r="H48" s="272"/>
    </row>
    <row r="49" spans="1:28" s="7" customFormat="1" ht="15.75" x14ac:dyDescent="0.25">
      <c r="A49" s="34" t="s">
        <v>618</v>
      </c>
      <c r="B49" s="26" t="s">
        <v>112</v>
      </c>
      <c r="C49" s="26" t="s">
        <v>11</v>
      </c>
      <c r="D49" s="26" t="s">
        <v>200</v>
      </c>
      <c r="E49" s="26" t="s">
        <v>6</v>
      </c>
      <c r="F49" s="26" t="s">
        <v>470</v>
      </c>
      <c r="G49" s="258" t="s">
        <v>547</v>
      </c>
      <c r="H49" s="258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5" x14ac:dyDescent="0.2">
      <c r="A50" s="12" t="s">
        <v>566</v>
      </c>
      <c r="B50" s="84"/>
      <c r="C50" s="12"/>
      <c r="D50" s="21"/>
      <c r="E50" s="27"/>
      <c r="F50" s="27"/>
      <c r="G50" s="273"/>
      <c r="H50" s="274"/>
    </row>
    <row r="51" spans="1:28" ht="15" x14ac:dyDescent="0.2">
      <c r="A51" s="12" t="s">
        <v>565</v>
      </c>
      <c r="B51" s="84"/>
      <c r="C51" s="12"/>
      <c r="D51" s="21"/>
      <c r="E51" s="27"/>
      <c r="F51" s="27"/>
      <c r="G51" s="273"/>
      <c r="H51" s="274"/>
    </row>
    <row r="52" spans="1:28" s="92" customFormat="1" ht="15" x14ac:dyDescent="0.2">
      <c r="A52" s="270"/>
      <c r="B52" s="271"/>
      <c r="C52" s="271"/>
      <c r="D52" s="271"/>
      <c r="E52" s="271"/>
      <c r="F52" s="271"/>
      <c r="G52" s="271"/>
      <c r="H52" s="272"/>
    </row>
    <row r="53" spans="1:28" ht="15.75" x14ac:dyDescent="0.25">
      <c r="A53" s="266" t="s">
        <v>1</v>
      </c>
      <c r="B53" s="267"/>
      <c r="C53" s="267"/>
      <c r="D53" s="267"/>
      <c r="E53" s="267"/>
      <c r="F53" s="267"/>
      <c r="G53" s="267"/>
      <c r="H53" s="269"/>
    </row>
    <row r="54" spans="1:28" ht="15.75" x14ac:dyDescent="0.25">
      <c r="A54" s="34" t="s">
        <v>20</v>
      </c>
      <c r="B54" s="26" t="s">
        <v>112</v>
      </c>
      <c r="C54" s="26" t="s">
        <v>11</v>
      </c>
      <c r="D54" s="26" t="s">
        <v>200</v>
      </c>
      <c r="E54" s="26" t="s">
        <v>6</v>
      </c>
      <c r="F54" s="26"/>
      <c r="G54" s="257" t="s">
        <v>7</v>
      </c>
      <c r="H54" s="257"/>
    </row>
    <row r="55" spans="1:28" ht="15.75" x14ac:dyDescent="0.25">
      <c r="A55" s="144">
        <v>1</v>
      </c>
      <c r="B55" s="84">
        <f ca="1">TODAY()</f>
        <v>45945</v>
      </c>
      <c r="C55" s="12">
        <v>14</v>
      </c>
      <c r="D55" s="21">
        <f ca="1">SUM(B55+C55)</f>
        <v>45959</v>
      </c>
      <c r="E55" s="27" t="s">
        <v>55</v>
      </c>
      <c r="F55" s="27"/>
      <c r="G55" s="277"/>
      <c r="H55" s="277"/>
    </row>
    <row r="56" spans="1:28" ht="15.75" x14ac:dyDescent="0.25">
      <c r="A56" s="144">
        <v>2</v>
      </c>
      <c r="B56" s="84">
        <f ca="1">TODAY()</f>
        <v>45945</v>
      </c>
      <c r="C56" s="12">
        <v>14</v>
      </c>
      <c r="D56" s="21">
        <f ca="1">SUM(B56+C56)</f>
        <v>45959</v>
      </c>
      <c r="E56" s="27" t="s">
        <v>55</v>
      </c>
      <c r="F56" s="27"/>
      <c r="G56" s="277"/>
      <c r="H56" s="277"/>
    </row>
    <row r="57" spans="1:28" ht="15.75" x14ac:dyDescent="0.25">
      <c r="A57" s="144">
        <v>3</v>
      </c>
      <c r="B57" s="84">
        <f ca="1">TODAY()</f>
        <v>45945</v>
      </c>
      <c r="C57" s="12">
        <v>14</v>
      </c>
      <c r="D57" s="21">
        <f ca="1">SUM(B57+C57)</f>
        <v>45959</v>
      </c>
      <c r="E57" s="27" t="s">
        <v>55</v>
      </c>
      <c r="F57" s="27"/>
      <c r="G57" s="277"/>
      <c r="H57" s="277"/>
    </row>
    <row r="58" spans="1:28" ht="15" x14ac:dyDescent="0.2">
      <c r="A58" s="7"/>
      <c r="B58" s="7"/>
      <c r="C58" s="25"/>
      <c r="D58" s="23"/>
      <c r="E58" s="23"/>
      <c r="F58" s="23"/>
      <c r="G58" s="23"/>
      <c r="H58" s="23"/>
    </row>
    <row r="59" spans="1:28" ht="15" x14ac:dyDescent="0.2">
      <c r="A59" s="25"/>
      <c r="B59" s="25"/>
      <c r="C59" s="23"/>
      <c r="D59" s="23"/>
      <c r="E59" s="23"/>
      <c r="F59" s="23"/>
      <c r="G59" s="23"/>
      <c r="H59" s="25"/>
    </row>
    <row r="60" spans="1:28" ht="15" x14ac:dyDescent="0.2">
      <c r="A60" s="25"/>
      <c r="B60" s="25"/>
      <c r="C60" s="23"/>
      <c r="D60" s="23"/>
      <c r="E60" s="23"/>
      <c r="F60" s="23"/>
      <c r="G60" s="23"/>
      <c r="H60" s="25"/>
    </row>
  </sheetData>
  <mergeCells count="38">
    <mergeCell ref="G23:H23"/>
    <mergeCell ref="G10:H10"/>
    <mergeCell ref="G12:H12"/>
    <mergeCell ref="G57:H57"/>
    <mergeCell ref="G27:H27"/>
    <mergeCell ref="G29:H29"/>
    <mergeCell ref="G54:H54"/>
    <mergeCell ref="G55:H55"/>
    <mergeCell ref="G56:H56"/>
    <mergeCell ref="G14:H14"/>
    <mergeCell ref="G16:H16"/>
    <mergeCell ref="G37:H37"/>
    <mergeCell ref="G31:H31"/>
    <mergeCell ref="G28:H28"/>
    <mergeCell ref="G18:H18"/>
    <mergeCell ref="G19:H19"/>
    <mergeCell ref="G49:H49"/>
    <mergeCell ref="G38:H38"/>
    <mergeCell ref="G39:H39"/>
    <mergeCell ref="G50:H50"/>
    <mergeCell ref="G24:H24"/>
    <mergeCell ref="G25:H25"/>
    <mergeCell ref="A9:H9"/>
    <mergeCell ref="A22:H22"/>
    <mergeCell ref="A53:H53"/>
    <mergeCell ref="A21:H21"/>
    <mergeCell ref="A26:H26"/>
    <mergeCell ref="A36:H36"/>
    <mergeCell ref="A48:H48"/>
    <mergeCell ref="A52:H52"/>
    <mergeCell ref="G30:H30"/>
    <mergeCell ref="A40:H40"/>
    <mergeCell ref="G51:H51"/>
    <mergeCell ref="G32:H32"/>
    <mergeCell ref="G33:H33"/>
    <mergeCell ref="G34:H34"/>
    <mergeCell ref="G35:H35"/>
    <mergeCell ref="G20:H20"/>
  </mergeCells>
  <dataValidations count="3">
    <dataValidation type="list" allowBlank="1" showInputMessage="1" showErrorMessage="1" sqref="B3" xr:uid="{70CE3516-2209-4439-A26B-19C7794B61C0}">
      <formula1>"Red Stripe, Red Belt"</formula1>
    </dataValidation>
    <dataValidation type="list" allowBlank="1" showInputMessage="1" showErrorMessage="1" sqref="E55:E57 E42:E47 E28:E29 E32:E35 E24:E25 E38:E39" xr:uid="{BDCA9550-B585-42A2-8117-09F486BABA52}">
      <formula1>"Untrained, In Progress, Retrain, Trained,Proficient"</formula1>
    </dataValidation>
    <dataValidation type="list" allowBlank="1" showInputMessage="1" showErrorMessage="1" sqref="B6:B7" xr:uid="{B30BB2EE-17F8-44CB-990C-89C88F0DB384}">
      <formula1>"Yes,No"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2FDC-9AB3-41E4-AF95-E338E93553B2}">
  <dimension ref="A1:AB68"/>
  <sheetViews>
    <sheetView zoomScale="85" zoomScaleNormal="85" workbookViewId="0">
      <selection activeCell="B3" sqref="B3"/>
    </sheetView>
  </sheetViews>
  <sheetFormatPr defaultColWidth="8.85546875" defaultRowHeight="14.25" x14ac:dyDescent="0.2"/>
  <cols>
    <col min="1" max="1" width="31.85546875" style="9" bestFit="1" customWidth="1"/>
    <col min="2" max="2" width="30" style="9" bestFit="1" customWidth="1"/>
    <col min="3" max="3" width="17" style="9" bestFit="1" customWidth="1"/>
    <col min="4" max="4" width="20.42578125" style="9" bestFit="1" customWidth="1"/>
    <col min="5" max="5" width="10.42578125" style="9" bestFit="1" customWidth="1"/>
    <col min="6" max="6" width="18.42578125" style="109" bestFit="1" customWidth="1"/>
    <col min="7" max="7" width="26.85546875" style="9" bestFit="1" customWidth="1"/>
    <col min="8" max="8" width="127.140625" style="9" bestFit="1" customWidth="1"/>
    <col min="9" max="16384" width="8.85546875" style="9"/>
  </cols>
  <sheetData>
    <row r="1" spans="1:22" ht="15" x14ac:dyDescent="0.2">
      <c r="A1" s="19" t="s">
        <v>88</v>
      </c>
      <c r="B1" s="39"/>
      <c r="C1" s="19" t="s">
        <v>87</v>
      </c>
      <c r="D1" s="21">
        <f ca="1">TODAY()</f>
        <v>45945</v>
      </c>
      <c r="E1" s="23"/>
      <c r="F1" s="107"/>
      <c r="G1" s="23"/>
      <c r="H1" s="25"/>
    </row>
    <row r="2" spans="1:22" ht="20.25" x14ac:dyDescent="0.3">
      <c r="A2" s="19" t="s">
        <v>78</v>
      </c>
      <c r="B2" s="235" t="s">
        <v>18</v>
      </c>
      <c r="C2" s="19" t="s">
        <v>5</v>
      </c>
      <c r="D2" s="21">
        <f>VLOOKUP(B3,Target,4,0)</f>
        <v>44207</v>
      </c>
      <c r="F2" s="107"/>
      <c r="G2" s="23"/>
      <c r="H2" s="25"/>
    </row>
    <row r="3" spans="1:22" ht="20.25" x14ac:dyDescent="0.3">
      <c r="A3" s="19" t="s">
        <v>70</v>
      </c>
      <c r="B3" s="145" t="s">
        <v>19</v>
      </c>
      <c r="C3" s="19" t="s">
        <v>12</v>
      </c>
      <c r="D3" s="22">
        <f ca="1">SUM(D2-(TODAY()))</f>
        <v>-1738</v>
      </c>
      <c r="E3" s="23"/>
      <c r="F3" s="107"/>
      <c r="G3" s="23"/>
      <c r="H3" s="25"/>
    </row>
    <row r="4" spans="1:22" ht="15" x14ac:dyDescent="0.2">
      <c r="A4" s="25"/>
      <c r="B4" s="25"/>
      <c r="C4" s="23"/>
      <c r="D4" s="23"/>
      <c r="E4" s="23"/>
      <c r="F4" s="107"/>
      <c r="G4" s="23"/>
      <c r="H4" s="25"/>
    </row>
    <row r="5" spans="1:22" s="25" customFormat="1" ht="20.25" x14ac:dyDescent="0.3">
      <c r="A5" s="146" t="s">
        <v>103</v>
      </c>
      <c r="B5" s="31" t="s">
        <v>595</v>
      </c>
      <c r="C5" s="91"/>
      <c r="D5" s="91"/>
      <c r="E5" s="91"/>
      <c r="F5" s="91"/>
      <c r="G5" s="91"/>
    </row>
    <row r="6" spans="1:22" s="25" customFormat="1" ht="15.75" x14ac:dyDescent="0.25">
      <c r="A6" s="34" t="s">
        <v>619</v>
      </c>
      <c r="B6" s="31"/>
      <c r="C6" s="91"/>
      <c r="D6" s="91"/>
      <c r="E6" s="91"/>
      <c r="F6" s="91"/>
      <c r="G6" s="91"/>
    </row>
    <row r="7" spans="1:22" s="25" customFormat="1" ht="15.75" x14ac:dyDescent="0.25">
      <c r="A7" s="130" t="s">
        <v>20</v>
      </c>
      <c r="B7" s="31"/>
      <c r="C7" s="91"/>
      <c r="D7" s="91"/>
      <c r="E7" s="91"/>
      <c r="F7" s="91"/>
      <c r="G7" s="91"/>
    </row>
    <row r="8" spans="1:22" ht="15" x14ac:dyDescent="0.2">
      <c r="A8" s="25"/>
      <c r="B8" s="25"/>
      <c r="C8" s="23"/>
      <c r="D8" s="23"/>
      <c r="E8" s="23"/>
      <c r="F8" s="107"/>
      <c r="G8" s="23"/>
      <c r="H8" s="25"/>
    </row>
    <row r="9" spans="1:22" s="7" customFormat="1" ht="15.75" x14ac:dyDescent="0.25">
      <c r="A9" s="289" t="s">
        <v>348</v>
      </c>
      <c r="B9" s="290"/>
      <c r="C9" s="290"/>
      <c r="D9" s="290"/>
      <c r="E9" s="290"/>
      <c r="F9" s="290"/>
      <c r="G9" s="290"/>
      <c r="H9" s="290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 s="25" customFormat="1" ht="15.75" x14ac:dyDescent="0.25">
      <c r="A10" s="34" t="s">
        <v>333</v>
      </c>
      <c r="B10" s="26" t="s">
        <v>112</v>
      </c>
      <c r="C10" s="26" t="s">
        <v>11</v>
      </c>
      <c r="D10" s="26" t="s">
        <v>200</v>
      </c>
      <c r="E10" s="26" t="s">
        <v>6</v>
      </c>
      <c r="F10" s="26" t="s">
        <v>470</v>
      </c>
      <c r="G10" s="258" t="s">
        <v>7</v>
      </c>
      <c r="H10" s="258"/>
    </row>
    <row r="11" spans="1:22" s="25" customFormat="1" ht="15.75" x14ac:dyDescent="0.25">
      <c r="A11" s="37"/>
      <c r="B11" s="101"/>
      <c r="C11" s="101"/>
      <c r="D11" s="101"/>
      <c r="E11" s="101"/>
      <c r="F11" s="36"/>
      <c r="G11" s="264"/>
      <c r="H11" s="265"/>
    </row>
    <row r="12" spans="1:22" s="25" customFormat="1" ht="15.75" x14ac:dyDescent="0.25">
      <c r="A12" s="34" t="s">
        <v>499</v>
      </c>
      <c r="B12" s="26" t="s">
        <v>112</v>
      </c>
      <c r="C12" s="26" t="s">
        <v>11</v>
      </c>
      <c r="D12" s="26" t="s">
        <v>200</v>
      </c>
      <c r="E12" s="26" t="s">
        <v>6</v>
      </c>
      <c r="F12" s="26" t="s">
        <v>470</v>
      </c>
      <c r="G12" s="258" t="s">
        <v>7</v>
      </c>
      <c r="H12" s="258"/>
    </row>
    <row r="13" spans="1:22" s="25" customFormat="1" ht="15.75" x14ac:dyDescent="0.25">
      <c r="A13" s="37"/>
      <c r="B13" s="101"/>
      <c r="C13" s="101"/>
      <c r="D13" s="101"/>
      <c r="E13" s="101"/>
      <c r="F13" s="36"/>
      <c r="G13" s="264"/>
      <c r="H13" s="265"/>
    </row>
    <row r="14" spans="1:22" s="25" customFormat="1" ht="15.75" x14ac:dyDescent="0.25">
      <c r="A14" s="34" t="s">
        <v>498</v>
      </c>
      <c r="B14" s="26" t="s">
        <v>112</v>
      </c>
      <c r="C14" s="26" t="s">
        <v>11</v>
      </c>
      <c r="D14" s="26" t="s">
        <v>200</v>
      </c>
      <c r="E14" s="26" t="s">
        <v>6</v>
      </c>
      <c r="F14" s="26" t="s">
        <v>470</v>
      </c>
      <c r="G14" s="258" t="s">
        <v>7</v>
      </c>
      <c r="H14" s="258"/>
    </row>
    <row r="15" spans="1:22" s="25" customFormat="1" ht="15.75" x14ac:dyDescent="0.25">
      <c r="A15" s="37"/>
      <c r="B15" s="101"/>
      <c r="C15" s="101"/>
      <c r="D15" s="101"/>
      <c r="E15" s="101"/>
      <c r="F15" s="36"/>
      <c r="G15" s="264"/>
      <c r="H15" s="265"/>
    </row>
    <row r="16" spans="1:22" s="25" customFormat="1" ht="15.75" x14ac:dyDescent="0.25">
      <c r="A16" s="34" t="s">
        <v>497</v>
      </c>
      <c r="B16" s="26" t="s">
        <v>112</v>
      </c>
      <c r="C16" s="26" t="s">
        <v>11</v>
      </c>
      <c r="D16" s="26" t="s">
        <v>200</v>
      </c>
      <c r="E16" s="26" t="s">
        <v>6</v>
      </c>
      <c r="F16" s="26" t="s">
        <v>470</v>
      </c>
      <c r="G16" s="258" t="s">
        <v>7</v>
      </c>
      <c r="H16" s="258"/>
    </row>
    <row r="17" spans="1:28" s="25" customFormat="1" ht="15" x14ac:dyDescent="0.2">
      <c r="A17" s="284"/>
      <c r="B17" s="285"/>
      <c r="C17" s="285"/>
      <c r="D17" s="285"/>
      <c r="E17" s="285"/>
      <c r="F17" s="285"/>
      <c r="G17" s="285"/>
      <c r="H17" s="286"/>
    </row>
    <row r="18" spans="1:28" ht="15.75" x14ac:dyDescent="0.25">
      <c r="A18" s="268" t="s">
        <v>0</v>
      </c>
      <c r="B18" s="268"/>
      <c r="C18" s="268"/>
      <c r="D18" s="268"/>
      <c r="E18" s="268"/>
      <c r="F18" s="268"/>
      <c r="G18" s="268"/>
      <c r="H18" s="268"/>
    </row>
    <row r="19" spans="1:28" s="7" customFormat="1" ht="15.75" x14ac:dyDescent="0.25">
      <c r="A19" s="34" t="s">
        <v>557</v>
      </c>
      <c r="B19" s="26" t="s">
        <v>112</v>
      </c>
      <c r="C19" s="26" t="s">
        <v>11</v>
      </c>
      <c r="D19" s="26" t="s">
        <v>200</v>
      </c>
      <c r="E19" s="26" t="s">
        <v>6</v>
      </c>
      <c r="F19" s="26" t="s">
        <v>470</v>
      </c>
      <c r="G19" s="258" t="s">
        <v>547</v>
      </c>
      <c r="H19" s="258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s="7" customFormat="1" ht="15" x14ac:dyDescent="0.2">
      <c r="A20" s="12">
        <v>11</v>
      </c>
      <c r="B20" s="21">
        <f t="shared" ref="B20:B21" ca="1" si="0">TODAY()</f>
        <v>45945</v>
      </c>
      <c r="C20" s="12">
        <v>14</v>
      </c>
      <c r="D20" s="21">
        <f t="shared" ref="D20" ca="1" si="1">SUM(B20+C20)</f>
        <v>45959</v>
      </c>
      <c r="E20" s="12" t="s">
        <v>56</v>
      </c>
      <c r="F20" s="35"/>
      <c r="G20" s="287"/>
      <c r="H20" s="287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s="7" customFormat="1" ht="15" x14ac:dyDescent="0.2">
      <c r="A21" s="12">
        <v>12</v>
      </c>
      <c r="B21" s="21">
        <f t="shared" ca="1" si="0"/>
        <v>45945</v>
      </c>
      <c r="C21" s="12">
        <v>14</v>
      </c>
      <c r="D21" s="21">
        <f t="shared" ref="D21" ca="1" si="2">SUM(B21+C21)</f>
        <v>45959</v>
      </c>
      <c r="E21" s="12" t="s">
        <v>56</v>
      </c>
      <c r="F21" s="35"/>
      <c r="G21" s="287"/>
      <c r="H21" s="287"/>
      <c r="I21" s="131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s="92" customFormat="1" ht="15" x14ac:dyDescent="0.2">
      <c r="A22" s="270"/>
      <c r="B22" s="271"/>
      <c r="C22" s="271"/>
      <c r="D22" s="271"/>
      <c r="E22" s="271"/>
      <c r="F22" s="271"/>
      <c r="G22" s="271"/>
      <c r="H22" s="272"/>
    </row>
    <row r="23" spans="1:28" s="7" customFormat="1" ht="15.75" x14ac:dyDescent="0.25">
      <c r="A23" s="34" t="s">
        <v>426</v>
      </c>
      <c r="B23" s="26" t="s">
        <v>112</v>
      </c>
      <c r="C23" s="26" t="s">
        <v>11</v>
      </c>
      <c r="D23" s="26" t="s">
        <v>200</v>
      </c>
      <c r="E23" s="26" t="s">
        <v>6</v>
      </c>
      <c r="F23" s="108" t="s">
        <v>470</v>
      </c>
      <c r="G23" s="258" t="s">
        <v>427</v>
      </c>
      <c r="H23" s="258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s="7" customFormat="1" ht="15" x14ac:dyDescent="0.2">
      <c r="A24" s="35" t="s">
        <v>453</v>
      </c>
      <c r="B24" s="21">
        <f ca="1">TODAY()</f>
        <v>45945</v>
      </c>
      <c r="C24" s="12">
        <v>14</v>
      </c>
      <c r="D24" s="21">
        <f t="shared" ref="D24" ca="1" si="3">SUM(B24+C24)</f>
        <v>45959</v>
      </c>
      <c r="E24" s="12" t="s">
        <v>56</v>
      </c>
      <c r="F24" s="35" t="s">
        <v>454</v>
      </c>
      <c r="G24" s="275"/>
      <c r="H24" s="27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s="7" customFormat="1" ht="15" x14ac:dyDescent="0.2">
      <c r="A25" s="35" t="s">
        <v>441</v>
      </c>
      <c r="B25" s="21">
        <f ca="1">TODAY()</f>
        <v>45945</v>
      </c>
      <c r="C25" s="12">
        <v>14</v>
      </c>
      <c r="D25" s="21">
        <f t="shared" ref="D25" ca="1" si="4">SUM(B25+C25)</f>
        <v>45959</v>
      </c>
      <c r="E25" s="12" t="s">
        <v>55</v>
      </c>
      <c r="F25" s="35" t="s">
        <v>442</v>
      </c>
      <c r="G25" s="275"/>
      <c r="H25" s="27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x14ac:dyDescent="0.2">
      <c r="A26" s="278"/>
      <c r="B26" s="279"/>
      <c r="C26" s="279"/>
      <c r="D26" s="279"/>
      <c r="E26" s="279"/>
      <c r="F26" s="279"/>
      <c r="G26" s="279"/>
      <c r="H26" s="280"/>
    </row>
    <row r="27" spans="1:28" s="25" customFormat="1" ht="15.75" x14ac:dyDescent="0.25">
      <c r="A27" s="34" t="s">
        <v>393</v>
      </c>
      <c r="B27" s="26" t="s">
        <v>112</v>
      </c>
      <c r="C27" s="26" t="s">
        <v>11</v>
      </c>
      <c r="D27" s="26" t="s">
        <v>200</v>
      </c>
      <c r="E27" s="26" t="s">
        <v>6</v>
      </c>
      <c r="F27" s="26" t="s">
        <v>470</v>
      </c>
      <c r="G27" s="258" t="s">
        <v>466</v>
      </c>
      <c r="H27" s="258"/>
    </row>
    <row r="28" spans="1:28" s="25" customFormat="1" ht="15" x14ac:dyDescent="0.2">
      <c r="A28" s="12">
        <v>19</v>
      </c>
      <c r="B28" s="21">
        <f ca="1">TODAY()</f>
        <v>45945</v>
      </c>
      <c r="C28" s="12">
        <v>14</v>
      </c>
      <c r="D28" s="21">
        <f ca="1">SUM(B28+C28)</f>
        <v>45959</v>
      </c>
      <c r="E28" s="12" t="s">
        <v>56</v>
      </c>
      <c r="F28" s="35" t="s">
        <v>406</v>
      </c>
      <c r="G28" s="287"/>
      <c r="H28" s="287"/>
    </row>
    <row r="29" spans="1:28" s="25" customFormat="1" ht="15" x14ac:dyDescent="0.2">
      <c r="A29" s="12">
        <v>20</v>
      </c>
      <c r="B29" s="21">
        <f ca="1">TODAY()</f>
        <v>45945</v>
      </c>
      <c r="C29" s="12">
        <v>14</v>
      </c>
      <c r="D29" s="21">
        <f ca="1">SUM(B29+C29)</f>
        <v>45959</v>
      </c>
      <c r="E29" s="12" t="s">
        <v>56</v>
      </c>
      <c r="F29" s="35" t="s">
        <v>407</v>
      </c>
      <c r="G29" s="287"/>
      <c r="H29" s="287"/>
    </row>
    <row r="30" spans="1:28" s="25" customFormat="1" ht="15" x14ac:dyDescent="0.2">
      <c r="A30" s="12">
        <v>21</v>
      </c>
      <c r="B30" s="21">
        <f ca="1">TODAY()</f>
        <v>45945</v>
      </c>
      <c r="C30" s="12">
        <v>15</v>
      </c>
      <c r="D30" s="21">
        <f ca="1">SUM(B30+C30)</f>
        <v>45960</v>
      </c>
      <c r="E30" s="12" t="s">
        <v>56</v>
      </c>
      <c r="F30" s="35" t="s">
        <v>408</v>
      </c>
      <c r="G30" s="287"/>
      <c r="H30" s="287"/>
    </row>
    <row r="31" spans="1:28" s="25" customFormat="1" ht="15" x14ac:dyDescent="0.2">
      <c r="A31" s="12">
        <v>22</v>
      </c>
      <c r="B31" s="21">
        <f ca="1">TODAY()</f>
        <v>45945</v>
      </c>
      <c r="C31" s="12">
        <v>16</v>
      </c>
      <c r="D31" s="21">
        <f ca="1">SUM(B31+C31)</f>
        <v>45961</v>
      </c>
      <c r="E31" s="12" t="s">
        <v>56</v>
      </c>
      <c r="F31" s="35" t="s">
        <v>409</v>
      </c>
      <c r="G31" s="287"/>
      <c r="H31" s="287"/>
    </row>
    <row r="32" spans="1:28" s="92" customFormat="1" ht="15.75" x14ac:dyDescent="0.25">
      <c r="A32" s="94"/>
      <c r="B32" s="21"/>
      <c r="C32" s="12"/>
      <c r="D32" s="21"/>
      <c r="E32" s="12"/>
      <c r="F32" s="100"/>
      <c r="G32" s="99"/>
      <c r="H32" s="100"/>
    </row>
    <row r="33" spans="1:28" s="25" customFormat="1" ht="15.75" x14ac:dyDescent="0.25">
      <c r="A33" s="34" t="s">
        <v>438</v>
      </c>
      <c r="B33" s="26" t="s">
        <v>112</v>
      </c>
      <c r="C33" s="26" t="s">
        <v>11</v>
      </c>
      <c r="D33" s="26" t="s">
        <v>200</v>
      </c>
      <c r="E33" s="26" t="s">
        <v>6</v>
      </c>
      <c r="F33" s="26" t="s">
        <v>470</v>
      </c>
      <c r="G33" s="258" t="s">
        <v>467</v>
      </c>
      <c r="H33" s="258"/>
    </row>
    <row r="34" spans="1:28" s="25" customFormat="1" ht="15" x14ac:dyDescent="0.2">
      <c r="A34" s="37" t="s">
        <v>518</v>
      </c>
      <c r="B34" s="21">
        <f ca="1">TODAY()</f>
        <v>45945</v>
      </c>
      <c r="C34" s="12">
        <v>14</v>
      </c>
      <c r="D34" s="21">
        <f ca="1">SUM(B34+C34)</f>
        <v>45959</v>
      </c>
      <c r="E34" s="12" t="s">
        <v>56</v>
      </c>
      <c r="F34" s="35"/>
      <c r="G34" s="287"/>
      <c r="H34" s="287"/>
    </row>
    <row r="35" spans="1:28" ht="15" x14ac:dyDescent="0.2">
      <c r="A35" s="37" t="s">
        <v>522</v>
      </c>
      <c r="B35" s="21">
        <f ca="1">TODAY()</f>
        <v>45945</v>
      </c>
      <c r="C35" s="12">
        <v>14</v>
      </c>
      <c r="D35" s="21">
        <f ca="1">SUM(B35+C35)</f>
        <v>45959</v>
      </c>
      <c r="E35" s="12" t="s">
        <v>56</v>
      </c>
      <c r="F35" s="35"/>
      <c r="G35" s="287"/>
      <c r="H35" s="287"/>
    </row>
    <row r="36" spans="1:28" s="25" customFormat="1" ht="15" x14ac:dyDescent="0.2">
      <c r="A36" s="288"/>
      <c r="B36" s="288"/>
      <c r="C36" s="288"/>
      <c r="D36" s="288"/>
      <c r="E36" s="288"/>
      <c r="F36" s="288"/>
      <c r="G36" s="288"/>
      <c r="H36" s="288"/>
    </row>
    <row r="37" spans="1:28" ht="15.75" x14ac:dyDescent="0.25">
      <c r="A37" s="34" t="s">
        <v>22</v>
      </c>
      <c r="B37" s="26" t="s">
        <v>112</v>
      </c>
      <c r="C37" s="26" t="s">
        <v>11</v>
      </c>
      <c r="D37" s="26" t="s">
        <v>200</v>
      </c>
      <c r="E37" s="26" t="s">
        <v>6</v>
      </c>
      <c r="F37" s="108" t="s">
        <v>470</v>
      </c>
      <c r="G37" s="26" t="s">
        <v>235</v>
      </c>
      <c r="H37" s="26" t="s">
        <v>7</v>
      </c>
    </row>
    <row r="38" spans="1:28" ht="15" x14ac:dyDescent="0.2">
      <c r="A38" s="12">
        <v>7</v>
      </c>
      <c r="B38" s="84">
        <f t="shared" ref="B38:B44" ca="1" si="5">TODAY()</f>
        <v>45945</v>
      </c>
      <c r="C38" s="12">
        <v>14</v>
      </c>
      <c r="D38" s="21">
        <f t="shared" ref="D38:D44" ca="1" si="6">SUM(B38+C38)</f>
        <v>45959</v>
      </c>
      <c r="E38" s="27" t="s">
        <v>55</v>
      </c>
      <c r="F38" s="90" t="s">
        <v>275</v>
      </c>
      <c r="G38" s="35" t="s">
        <v>242</v>
      </c>
      <c r="H38" s="35" t="s">
        <v>251</v>
      </c>
    </row>
    <row r="39" spans="1:28" ht="15" x14ac:dyDescent="0.2">
      <c r="A39" s="12">
        <v>8</v>
      </c>
      <c r="B39" s="84">
        <f t="shared" ca="1" si="5"/>
        <v>45945</v>
      </c>
      <c r="C39" s="12">
        <v>14</v>
      </c>
      <c r="D39" s="21">
        <f t="shared" ca="1" si="6"/>
        <v>45959</v>
      </c>
      <c r="E39" s="27" t="s">
        <v>55</v>
      </c>
      <c r="F39" s="90" t="s">
        <v>273</v>
      </c>
      <c r="G39" s="35" t="s">
        <v>243</v>
      </c>
      <c r="H39" s="35" t="s">
        <v>252</v>
      </c>
    </row>
    <row r="40" spans="1:28" ht="15" x14ac:dyDescent="0.2">
      <c r="A40" s="12">
        <v>9</v>
      </c>
      <c r="B40" s="84">
        <f t="shared" ca="1" si="5"/>
        <v>45945</v>
      </c>
      <c r="C40" s="12">
        <v>14</v>
      </c>
      <c r="D40" s="21">
        <f t="shared" ca="1" si="6"/>
        <v>45959</v>
      </c>
      <c r="E40" s="27" t="s">
        <v>55</v>
      </c>
      <c r="F40" s="90" t="s">
        <v>267</v>
      </c>
      <c r="G40" s="35" t="s">
        <v>244</v>
      </c>
      <c r="H40" s="35" t="s">
        <v>253</v>
      </c>
    </row>
    <row r="41" spans="1:28" ht="15" x14ac:dyDescent="0.2">
      <c r="A41" s="12">
        <v>10</v>
      </c>
      <c r="B41" s="84">
        <f t="shared" ca="1" si="5"/>
        <v>45945</v>
      </c>
      <c r="C41" s="12">
        <v>14</v>
      </c>
      <c r="D41" s="21">
        <f t="shared" ca="1" si="6"/>
        <v>45959</v>
      </c>
      <c r="E41" s="27" t="s">
        <v>55</v>
      </c>
      <c r="F41" s="90" t="s">
        <v>274</v>
      </c>
      <c r="G41" s="35" t="s">
        <v>245</v>
      </c>
      <c r="H41" s="35"/>
    </row>
    <row r="42" spans="1:28" ht="15" x14ac:dyDescent="0.2">
      <c r="A42" s="12">
        <v>11</v>
      </c>
      <c r="B42" s="84">
        <f t="shared" ca="1" si="5"/>
        <v>45945</v>
      </c>
      <c r="C42" s="12">
        <v>14</v>
      </c>
      <c r="D42" s="21">
        <f t="shared" ca="1" si="6"/>
        <v>45959</v>
      </c>
      <c r="E42" s="27" t="s">
        <v>55</v>
      </c>
      <c r="F42" s="90" t="s">
        <v>276</v>
      </c>
      <c r="G42" s="35" t="s">
        <v>245</v>
      </c>
      <c r="H42" s="35"/>
    </row>
    <row r="43" spans="1:28" ht="15" x14ac:dyDescent="0.2">
      <c r="A43" s="12">
        <v>12</v>
      </c>
      <c r="B43" s="84">
        <f t="shared" ca="1" si="5"/>
        <v>45945</v>
      </c>
      <c r="C43" s="12">
        <v>14</v>
      </c>
      <c r="D43" s="21">
        <f t="shared" ca="1" si="6"/>
        <v>45959</v>
      </c>
      <c r="E43" s="27" t="s">
        <v>55</v>
      </c>
      <c r="F43" s="90" t="s">
        <v>278</v>
      </c>
      <c r="G43" s="35" t="s">
        <v>246</v>
      </c>
      <c r="H43" s="35"/>
    </row>
    <row r="44" spans="1:28" ht="15" x14ac:dyDescent="0.2">
      <c r="A44" s="12">
        <v>13</v>
      </c>
      <c r="B44" s="84">
        <f t="shared" ca="1" si="5"/>
        <v>45945</v>
      </c>
      <c r="C44" s="12">
        <v>14</v>
      </c>
      <c r="D44" s="21">
        <f t="shared" ca="1" si="6"/>
        <v>45959</v>
      </c>
      <c r="E44" s="27" t="s">
        <v>55</v>
      </c>
      <c r="F44" s="90" t="s">
        <v>277</v>
      </c>
      <c r="G44" s="35" t="s">
        <v>246</v>
      </c>
      <c r="H44" s="35"/>
    </row>
    <row r="45" spans="1:28" ht="15" x14ac:dyDescent="0.2">
      <c r="A45" s="11"/>
      <c r="B45" s="37"/>
      <c r="C45" s="37"/>
      <c r="D45" s="22"/>
      <c r="E45" s="22"/>
      <c r="F45" s="36"/>
      <c r="G45" s="22"/>
      <c r="H45" s="37"/>
    </row>
    <row r="46" spans="1:28" s="7" customFormat="1" ht="15.75" x14ac:dyDescent="0.25">
      <c r="A46" s="34" t="s">
        <v>618</v>
      </c>
      <c r="B46" s="26" t="s">
        <v>112</v>
      </c>
      <c r="C46" s="26" t="s">
        <v>11</v>
      </c>
      <c r="D46" s="26" t="s">
        <v>200</v>
      </c>
      <c r="E46" s="26" t="s">
        <v>6</v>
      </c>
      <c r="F46" s="26" t="s">
        <v>470</v>
      </c>
      <c r="G46" s="258" t="s">
        <v>586</v>
      </c>
      <c r="H46" s="258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5" x14ac:dyDescent="0.2">
      <c r="A47" s="12" t="s">
        <v>562</v>
      </c>
      <c r="B47" s="84"/>
      <c r="C47" s="12"/>
      <c r="D47" s="21"/>
      <c r="E47" s="27"/>
      <c r="F47" s="90"/>
      <c r="G47" s="264"/>
      <c r="H47" s="265"/>
    </row>
    <row r="48" spans="1:28" ht="15" x14ac:dyDescent="0.2">
      <c r="A48" s="12" t="s">
        <v>567</v>
      </c>
      <c r="B48" s="84"/>
      <c r="C48" s="12"/>
      <c r="D48" s="21"/>
      <c r="E48" s="27"/>
      <c r="F48" s="90"/>
      <c r="G48" s="264"/>
      <c r="H48" s="265"/>
    </row>
    <row r="49" spans="1:8" ht="15" x14ac:dyDescent="0.2">
      <c r="A49" s="281"/>
      <c r="B49" s="282"/>
      <c r="C49" s="282"/>
      <c r="D49" s="282"/>
      <c r="E49" s="282"/>
      <c r="F49" s="282"/>
      <c r="G49" s="282"/>
      <c r="H49" s="283"/>
    </row>
    <row r="50" spans="1:8" ht="15.75" x14ac:dyDescent="0.25">
      <c r="A50" s="268" t="s">
        <v>1</v>
      </c>
      <c r="B50" s="268"/>
      <c r="C50" s="268"/>
      <c r="D50" s="268"/>
      <c r="E50" s="268"/>
      <c r="F50" s="268"/>
      <c r="G50" s="268"/>
      <c r="H50" s="268"/>
    </row>
    <row r="51" spans="1:8" ht="15.75" x14ac:dyDescent="0.25">
      <c r="A51" s="34" t="s">
        <v>20</v>
      </c>
      <c r="B51" s="26" t="s">
        <v>112</v>
      </c>
      <c r="C51" s="26" t="s">
        <v>11</v>
      </c>
      <c r="D51" s="26" t="s">
        <v>200</v>
      </c>
      <c r="E51" s="26" t="s">
        <v>6</v>
      </c>
      <c r="F51" s="108"/>
      <c r="G51" s="257" t="s">
        <v>7</v>
      </c>
      <c r="H51" s="257"/>
    </row>
    <row r="52" spans="1:8" ht="15" x14ac:dyDescent="0.2">
      <c r="A52" s="12">
        <v>4</v>
      </c>
      <c r="B52" s="84">
        <f ca="1">TODAY()</f>
        <v>45945</v>
      </c>
      <c r="C52" s="12">
        <v>14</v>
      </c>
      <c r="D52" s="21" t="s">
        <v>112</v>
      </c>
      <c r="E52" s="27" t="s">
        <v>55</v>
      </c>
      <c r="F52" s="90"/>
      <c r="G52" s="277"/>
      <c r="H52" s="277"/>
    </row>
    <row r="53" spans="1:8" ht="15" x14ac:dyDescent="0.2">
      <c r="A53" s="12">
        <v>5</v>
      </c>
      <c r="B53" s="84">
        <f ca="1">TODAY()</f>
        <v>45945</v>
      </c>
      <c r="C53" s="12">
        <v>14</v>
      </c>
      <c r="D53" s="21" t="s">
        <v>112</v>
      </c>
      <c r="E53" s="27" t="s">
        <v>55</v>
      </c>
      <c r="F53" s="90"/>
      <c r="G53" s="277"/>
      <c r="H53" s="277"/>
    </row>
    <row r="54" spans="1:8" ht="15" x14ac:dyDescent="0.2">
      <c r="A54" s="12">
        <v>6</v>
      </c>
      <c r="B54" s="84">
        <f ca="1">TODAY()</f>
        <v>45945</v>
      </c>
      <c r="C54" s="12">
        <v>14</v>
      </c>
      <c r="D54" s="21" t="s">
        <v>112</v>
      </c>
      <c r="E54" s="27" t="s">
        <v>55</v>
      </c>
      <c r="F54" s="90"/>
      <c r="G54" s="277"/>
      <c r="H54" s="277"/>
    </row>
    <row r="55" spans="1:8" ht="15" x14ac:dyDescent="0.2">
      <c r="A55" s="25"/>
      <c r="B55" s="25"/>
      <c r="C55" s="23"/>
      <c r="D55" s="23"/>
      <c r="E55" s="23"/>
      <c r="F55" s="107"/>
      <c r="G55" s="23"/>
      <c r="H55" s="25"/>
    </row>
    <row r="56" spans="1:8" ht="15" x14ac:dyDescent="0.2">
      <c r="A56" s="25"/>
      <c r="B56" s="25"/>
      <c r="C56" s="23"/>
      <c r="D56" s="23"/>
      <c r="E56" s="23"/>
      <c r="F56" s="107"/>
      <c r="G56" s="23"/>
      <c r="H56" s="25"/>
    </row>
    <row r="57" spans="1:8" ht="15" x14ac:dyDescent="0.2">
      <c r="A57" s="25"/>
      <c r="B57" s="25"/>
      <c r="C57" s="23"/>
      <c r="D57" s="23"/>
      <c r="E57" s="23"/>
      <c r="F57" s="107"/>
      <c r="G57" s="23"/>
      <c r="H57" s="25"/>
    </row>
    <row r="58" spans="1:8" ht="15" x14ac:dyDescent="0.2">
      <c r="A58" s="132"/>
      <c r="B58" s="25"/>
      <c r="C58" s="23"/>
      <c r="D58" s="23"/>
      <c r="E58" s="23"/>
      <c r="F58" s="107"/>
      <c r="G58" s="23"/>
      <c r="H58" s="25"/>
    </row>
    <row r="59" spans="1:8" ht="15" x14ac:dyDescent="0.2">
      <c r="A59" s="132"/>
      <c r="B59" s="25"/>
      <c r="C59" s="23"/>
      <c r="D59" s="23"/>
      <c r="E59" s="23"/>
      <c r="F59" s="107"/>
      <c r="G59" s="23"/>
      <c r="H59" s="25"/>
    </row>
    <row r="60" spans="1:8" ht="15" x14ac:dyDescent="0.2">
      <c r="A60" s="25"/>
      <c r="B60" s="25"/>
      <c r="C60" s="23"/>
      <c r="D60" s="23"/>
      <c r="E60" s="23"/>
      <c r="F60" s="107"/>
      <c r="G60" s="23"/>
      <c r="H60" s="25"/>
    </row>
    <row r="61" spans="1:8" ht="15" x14ac:dyDescent="0.2">
      <c r="A61" s="25"/>
      <c r="B61" s="25"/>
      <c r="C61" s="23"/>
      <c r="D61" s="23"/>
      <c r="E61" s="23"/>
      <c r="F61" s="107"/>
      <c r="G61" s="23"/>
      <c r="H61" s="25"/>
    </row>
    <row r="62" spans="1:8" x14ac:dyDescent="0.2">
      <c r="A62" s="132"/>
      <c r="B62" s="132"/>
      <c r="C62" s="132"/>
      <c r="D62" s="132"/>
      <c r="E62" s="132"/>
      <c r="F62" s="133"/>
      <c r="G62" s="132"/>
      <c r="H62" s="132"/>
    </row>
    <row r="63" spans="1:8" x14ac:dyDescent="0.2">
      <c r="A63" s="132"/>
      <c r="B63" s="132"/>
      <c r="C63" s="132"/>
      <c r="D63" s="132"/>
      <c r="E63" s="132"/>
      <c r="F63" s="133"/>
      <c r="G63" s="132"/>
      <c r="H63" s="132"/>
    </row>
    <row r="64" spans="1:8" x14ac:dyDescent="0.2">
      <c r="A64" s="132"/>
      <c r="B64" s="132"/>
      <c r="C64" s="132"/>
      <c r="D64" s="132"/>
      <c r="E64" s="132"/>
      <c r="F64" s="133"/>
      <c r="G64" s="132"/>
      <c r="H64" s="132"/>
    </row>
    <row r="65" spans="1:8" x14ac:dyDescent="0.2">
      <c r="A65" s="132"/>
      <c r="B65" s="132"/>
      <c r="C65" s="132"/>
      <c r="D65" s="132"/>
      <c r="E65" s="132"/>
      <c r="F65" s="133"/>
      <c r="G65" s="132"/>
      <c r="H65" s="132"/>
    </row>
    <row r="66" spans="1:8" x14ac:dyDescent="0.2">
      <c r="A66" s="132"/>
      <c r="B66" s="132"/>
      <c r="C66" s="132"/>
      <c r="D66" s="132"/>
      <c r="E66" s="132"/>
      <c r="F66" s="133"/>
      <c r="G66" s="132"/>
      <c r="H66" s="132"/>
    </row>
    <row r="67" spans="1:8" x14ac:dyDescent="0.2">
      <c r="A67" s="132"/>
      <c r="B67" s="132"/>
      <c r="C67" s="132"/>
      <c r="D67" s="132"/>
      <c r="E67" s="132"/>
      <c r="F67" s="133"/>
      <c r="G67" s="132"/>
      <c r="H67" s="132"/>
    </row>
    <row r="68" spans="1:8" x14ac:dyDescent="0.2">
      <c r="A68" s="132"/>
      <c r="B68" s="132"/>
      <c r="C68" s="132"/>
      <c r="D68" s="132"/>
      <c r="E68" s="132"/>
      <c r="F68" s="133"/>
      <c r="G68" s="132"/>
      <c r="H68" s="132"/>
    </row>
  </sheetData>
  <mergeCells count="36">
    <mergeCell ref="G10:H10"/>
    <mergeCell ref="A9:H9"/>
    <mergeCell ref="A18:H18"/>
    <mergeCell ref="A50:H50"/>
    <mergeCell ref="G19:H19"/>
    <mergeCell ref="G53:H53"/>
    <mergeCell ref="G54:H54"/>
    <mergeCell ref="G23:H23"/>
    <mergeCell ref="G25:H25"/>
    <mergeCell ref="G24:H24"/>
    <mergeCell ref="G51:H51"/>
    <mergeCell ref="G52:H52"/>
    <mergeCell ref="A49:H49"/>
    <mergeCell ref="A17:H17"/>
    <mergeCell ref="A22:H22"/>
    <mergeCell ref="G30:H30"/>
    <mergeCell ref="G31:H31"/>
    <mergeCell ref="G34:H34"/>
    <mergeCell ref="G35:H35"/>
    <mergeCell ref="G33:H33"/>
    <mergeCell ref="A36:H36"/>
    <mergeCell ref="G20:H20"/>
    <mergeCell ref="G21:H21"/>
    <mergeCell ref="G28:H28"/>
    <mergeCell ref="G29:H29"/>
    <mergeCell ref="G27:H27"/>
    <mergeCell ref="G11:H11"/>
    <mergeCell ref="G13:H13"/>
    <mergeCell ref="G15:H15"/>
    <mergeCell ref="G47:H47"/>
    <mergeCell ref="G48:H48"/>
    <mergeCell ref="G46:H46"/>
    <mergeCell ref="A26:H26"/>
    <mergeCell ref="G12:H12"/>
    <mergeCell ref="G14:H14"/>
    <mergeCell ref="G16:H16"/>
  </mergeCells>
  <dataValidations count="3">
    <dataValidation type="list" allowBlank="1" showInputMessage="1" showErrorMessage="1" sqref="E38:E44 E52:E54 E24:E25 E34:E35 E28:E32 E20:E21" xr:uid="{0DF7653C-67B9-4792-8235-D79ACEF02045}">
      <formula1>"Untrained, In Progress, Retrain, Trained,Proficient"</formula1>
    </dataValidation>
    <dataValidation type="list" allowBlank="1" showInputMessage="1" showErrorMessage="1" sqref="B2:B3" xr:uid="{739642B7-3C4A-4B04-87E3-DD3E9A8C39D7}">
      <formula1>"Red Stripe, Red Belt"</formula1>
    </dataValidation>
    <dataValidation type="list" allowBlank="1" showInputMessage="1" showErrorMessage="1" sqref="B6:B7" xr:uid="{A3F48DAF-7DC5-4427-9051-260D0B876C39}">
      <formula1>"Yes,No"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63C1-7797-4660-81BD-9F70CDC58091}">
  <dimension ref="A1:AA50"/>
  <sheetViews>
    <sheetView zoomScale="85" zoomScaleNormal="85" workbookViewId="0">
      <selection activeCell="B3" sqref="B3"/>
    </sheetView>
  </sheetViews>
  <sheetFormatPr defaultColWidth="8.85546875" defaultRowHeight="14.25" x14ac:dyDescent="0.2"/>
  <cols>
    <col min="1" max="1" width="40.85546875" style="9" bestFit="1" customWidth="1"/>
    <col min="2" max="2" width="26.28515625" style="9" bestFit="1" customWidth="1"/>
    <col min="3" max="3" width="19" style="9" bestFit="1" customWidth="1"/>
    <col min="4" max="4" width="20.42578125" style="9" bestFit="1" customWidth="1"/>
    <col min="5" max="5" width="12.140625" style="9" bestFit="1" customWidth="1"/>
    <col min="6" max="6" width="14.42578125" style="9" bestFit="1" customWidth="1"/>
    <col min="7" max="7" width="71.85546875" style="9" customWidth="1"/>
    <col min="8" max="16384" width="8.85546875" style="9"/>
  </cols>
  <sheetData>
    <row r="1" spans="1:27" ht="15" x14ac:dyDescent="0.2">
      <c r="A1" s="19" t="s">
        <v>69</v>
      </c>
      <c r="B1" s="39"/>
      <c r="C1" s="19" t="s">
        <v>87</v>
      </c>
      <c r="D1" s="21">
        <f ca="1">TODAY()</f>
        <v>45945</v>
      </c>
      <c r="E1" s="23"/>
      <c r="F1" s="23"/>
      <c r="G1" s="23"/>
    </row>
    <row r="2" spans="1:27" ht="20.25" x14ac:dyDescent="0.3">
      <c r="A2" s="19" t="s">
        <v>78</v>
      </c>
      <c r="B2" s="145" t="s">
        <v>19</v>
      </c>
      <c r="C2" s="19" t="s">
        <v>5</v>
      </c>
      <c r="D2" s="21">
        <f>VLOOKUP(B3,Target,4,0)</f>
        <v>44297</v>
      </c>
      <c r="F2" s="23"/>
      <c r="G2" s="23"/>
    </row>
    <row r="3" spans="1:27" ht="20.25" x14ac:dyDescent="0.3">
      <c r="A3" s="19" t="s">
        <v>8</v>
      </c>
      <c r="B3" s="134" t="s">
        <v>24</v>
      </c>
      <c r="C3" s="19" t="s">
        <v>12</v>
      </c>
      <c r="D3" s="22">
        <f ca="1">SUM(D2-(TODAY()))</f>
        <v>-1648</v>
      </c>
      <c r="E3" s="23"/>
      <c r="F3" s="23"/>
      <c r="G3" s="23"/>
    </row>
    <row r="4" spans="1:27" ht="15" x14ac:dyDescent="0.2">
      <c r="A4" s="25"/>
      <c r="B4" s="25"/>
      <c r="C4" s="23"/>
      <c r="D4" s="23"/>
      <c r="E4" s="23"/>
      <c r="F4" s="23"/>
      <c r="G4" s="23"/>
    </row>
    <row r="5" spans="1:27" s="25" customFormat="1" ht="20.25" x14ac:dyDescent="0.3">
      <c r="A5" s="134" t="s">
        <v>105</v>
      </c>
      <c r="B5" s="31" t="s">
        <v>595</v>
      </c>
      <c r="C5" s="91"/>
      <c r="D5" s="91"/>
      <c r="E5" s="91"/>
      <c r="F5" s="91"/>
      <c r="G5" s="91"/>
    </row>
    <row r="6" spans="1:27" s="25" customFormat="1" ht="15.75" x14ac:dyDescent="0.25">
      <c r="A6" s="34" t="s">
        <v>26</v>
      </c>
      <c r="B6" s="31"/>
      <c r="C6" s="91"/>
      <c r="D6" s="91"/>
      <c r="E6" s="91"/>
      <c r="F6" s="91"/>
      <c r="G6" s="91"/>
    </row>
    <row r="7" spans="1:27" s="25" customFormat="1" ht="15.75" x14ac:dyDescent="0.25">
      <c r="A7" s="130" t="s">
        <v>29</v>
      </c>
      <c r="B7" s="31"/>
      <c r="C7" s="91"/>
      <c r="D7" s="91"/>
      <c r="E7" s="91"/>
      <c r="F7" s="91"/>
      <c r="G7" s="91"/>
    </row>
    <row r="8" spans="1:27" ht="15" x14ac:dyDescent="0.2">
      <c r="A8" s="25"/>
      <c r="B8" s="25"/>
      <c r="C8" s="23"/>
      <c r="D8" s="23"/>
      <c r="E8" s="23"/>
      <c r="F8" s="23"/>
      <c r="G8" s="23"/>
    </row>
    <row r="9" spans="1:27" s="25" customFormat="1" ht="15.75" x14ac:dyDescent="0.25">
      <c r="A9" s="266" t="s">
        <v>348</v>
      </c>
      <c r="B9" s="267"/>
      <c r="C9" s="267"/>
      <c r="D9" s="267"/>
      <c r="E9" s="267"/>
      <c r="F9" s="267"/>
      <c r="G9" s="269"/>
    </row>
    <row r="10" spans="1:27" s="25" customFormat="1" ht="15.75" x14ac:dyDescent="0.25">
      <c r="A10" s="34" t="s">
        <v>348</v>
      </c>
      <c r="B10" s="26" t="s">
        <v>112</v>
      </c>
      <c r="C10" s="26" t="s">
        <v>11</v>
      </c>
      <c r="D10" s="26" t="s">
        <v>200</v>
      </c>
      <c r="E10" s="26" t="s">
        <v>6</v>
      </c>
      <c r="F10" s="87" t="s">
        <v>470</v>
      </c>
      <c r="G10" s="110" t="s">
        <v>585</v>
      </c>
    </row>
    <row r="11" spans="1:27" s="25" customFormat="1" ht="15.75" x14ac:dyDescent="0.2">
      <c r="A11" s="37" t="s">
        <v>349</v>
      </c>
      <c r="B11" s="21">
        <f t="shared" ref="B11" ca="1" si="0">TODAY()</f>
        <v>45945</v>
      </c>
      <c r="C11" s="12">
        <v>14</v>
      </c>
      <c r="D11" s="21">
        <f ca="1">SUM(B11+C11)</f>
        <v>45959</v>
      </c>
      <c r="E11" s="12" t="s">
        <v>57</v>
      </c>
      <c r="F11" s="119" t="s">
        <v>589</v>
      </c>
      <c r="G11" s="102"/>
    </row>
    <row r="12" spans="1:27" s="25" customFormat="1" ht="15.75" x14ac:dyDescent="0.25">
      <c r="A12" s="37"/>
      <c r="B12" s="101"/>
      <c r="C12" s="101"/>
      <c r="D12" s="101"/>
      <c r="E12" s="101"/>
      <c r="F12" s="116"/>
      <c r="G12" s="102"/>
    </row>
    <row r="13" spans="1:27" ht="15.75" x14ac:dyDescent="0.25">
      <c r="A13" s="37"/>
      <c r="B13" s="101"/>
      <c r="C13" s="101"/>
      <c r="D13" s="101"/>
      <c r="E13" s="101"/>
      <c r="F13" s="116"/>
      <c r="G13" s="102"/>
    </row>
    <row r="14" spans="1:27" s="92" customFormat="1" ht="15.75" x14ac:dyDescent="0.25">
      <c r="A14" s="266" t="s">
        <v>0</v>
      </c>
      <c r="B14" s="267"/>
      <c r="C14" s="267"/>
      <c r="D14" s="267"/>
      <c r="E14" s="267"/>
      <c r="F14" s="267"/>
      <c r="G14" s="269"/>
    </row>
    <row r="15" spans="1:27" s="7" customFormat="1" ht="15.75" x14ac:dyDescent="0.25">
      <c r="A15" s="34" t="s">
        <v>426</v>
      </c>
      <c r="B15" s="26" t="s">
        <v>112</v>
      </c>
      <c r="C15" s="26" t="s">
        <v>11</v>
      </c>
      <c r="D15" s="26" t="s">
        <v>200</v>
      </c>
      <c r="E15" s="26" t="s">
        <v>6</v>
      </c>
      <c r="F15" s="87" t="s">
        <v>470</v>
      </c>
      <c r="G15" s="110" t="s">
        <v>427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x14ac:dyDescent="0.2">
      <c r="A16" s="35" t="s">
        <v>445</v>
      </c>
      <c r="B16" s="21">
        <f t="shared" ref="B16" ca="1" si="1">TODAY()</f>
        <v>45945</v>
      </c>
      <c r="C16" s="12">
        <v>14</v>
      </c>
      <c r="D16" s="21">
        <f ca="1">SUM(B16+C16)</f>
        <v>45959</v>
      </c>
      <c r="E16" s="12" t="s">
        <v>56</v>
      </c>
      <c r="F16" s="119" t="s">
        <v>446</v>
      </c>
      <c r="G16" s="106"/>
      <c r="H16" s="25"/>
    </row>
    <row r="17" spans="1:8" s="25" customFormat="1" ht="15" x14ac:dyDescent="0.2">
      <c r="C17" s="23"/>
      <c r="D17" s="23"/>
      <c r="E17" s="23"/>
      <c r="F17" s="23"/>
      <c r="G17" s="22"/>
      <c r="H17" s="9"/>
    </row>
    <row r="18" spans="1:8" s="25" customFormat="1" ht="15.75" x14ac:dyDescent="0.25">
      <c r="A18" s="34" t="s">
        <v>393</v>
      </c>
      <c r="B18" s="26" t="s">
        <v>112</v>
      </c>
      <c r="C18" s="26" t="s">
        <v>11</v>
      </c>
      <c r="D18" s="26" t="s">
        <v>200</v>
      </c>
      <c r="E18" s="26" t="s">
        <v>6</v>
      </c>
      <c r="F18" s="87" t="s">
        <v>470</v>
      </c>
      <c r="G18" s="46" t="s">
        <v>466</v>
      </c>
    </row>
    <row r="19" spans="1:8" s="92" customFormat="1" ht="15" x14ac:dyDescent="0.2">
      <c r="A19" s="12"/>
      <c r="B19" s="21">
        <f ca="1">TODAY()</f>
        <v>45945</v>
      </c>
      <c r="C19" s="12">
        <v>14</v>
      </c>
      <c r="D19" s="21">
        <f ca="1">SUM(B19+C19)</f>
        <v>45959</v>
      </c>
      <c r="E19" s="12" t="s">
        <v>56</v>
      </c>
      <c r="F19" s="119"/>
      <c r="G19" s="47"/>
      <c r="H19" s="25"/>
    </row>
    <row r="20" spans="1:8" s="25" customFormat="1" ht="15.75" x14ac:dyDescent="0.25">
      <c r="A20" s="96"/>
      <c r="B20" s="28"/>
      <c r="C20" s="8"/>
      <c r="D20" s="28"/>
      <c r="E20" s="8"/>
      <c r="F20" s="92"/>
      <c r="G20" s="99"/>
      <c r="H20" s="92"/>
    </row>
    <row r="21" spans="1:8" s="25" customFormat="1" ht="15.75" x14ac:dyDescent="0.25">
      <c r="A21" s="114" t="s">
        <v>438</v>
      </c>
      <c r="B21" s="26" t="s">
        <v>112</v>
      </c>
      <c r="C21" s="26" t="s">
        <v>11</v>
      </c>
      <c r="D21" s="26" t="s">
        <v>200</v>
      </c>
      <c r="E21" s="26" t="s">
        <v>6</v>
      </c>
      <c r="F21" s="87" t="s">
        <v>470</v>
      </c>
      <c r="G21" s="46" t="s">
        <v>467</v>
      </c>
    </row>
    <row r="22" spans="1:8" s="25" customFormat="1" ht="15" x14ac:dyDescent="0.2">
      <c r="A22" s="35" t="s">
        <v>421</v>
      </c>
      <c r="B22" s="21">
        <f ca="1">TODAY()</f>
        <v>45945</v>
      </c>
      <c r="C22" s="12">
        <v>14</v>
      </c>
      <c r="D22" s="21">
        <f ca="1">SUM(B22+C22)</f>
        <v>45959</v>
      </c>
      <c r="E22" s="12" t="s">
        <v>56</v>
      </c>
      <c r="F22" s="119"/>
      <c r="G22" s="47"/>
    </row>
    <row r="23" spans="1:8" s="92" customFormat="1" ht="15" x14ac:dyDescent="0.2">
      <c r="A23" s="35" t="s">
        <v>422</v>
      </c>
      <c r="B23" s="21">
        <f ca="1">TODAY()</f>
        <v>45945</v>
      </c>
      <c r="C23" s="12">
        <v>14</v>
      </c>
      <c r="D23" s="21">
        <f ca="1">SUM(B23+C23)</f>
        <v>45959</v>
      </c>
      <c r="E23" s="12" t="s">
        <v>56</v>
      </c>
      <c r="F23" s="119"/>
      <c r="G23" s="47"/>
      <c r="H23" s="25"/>
    </row>
    <row r="24" spans="1:8" ht="15.75" x14ac:dyDescent="0.25">
      <c r="A24" s="96"/>
      <c r="B24" s="28"/>
      <c r="C24" s="8"/>
      <c r="D24" s="28"/>
      <c r="E24" s="8"/>
      <c r="F24" s="92"/>
      <c r="G24" s="99"/>
      <c r="H24" s="92"/>
    </row>
    <row r="25" spans="1:8" ht="15.75" x14ac:dyDescent="0.25">
      <c r="A25" s="114" t="s">
        <v>26</v>
      </c>
      <c r="B25" s="26" t="s">
        <v>112</v>
      </c>
      <c r="C25" s="26" t="s">
        <v>11</v>
      </c>
      <c r="D25" s="26" t="s">
        <v>200</v>
      </c>
      <c r="E25" s="26" t="s">
        <v>6</v>
      </c>
      <c r="F25" s="87" t="s">
        <v>470</v>
      </c>
      <c r="G25" s="26" t="s">
        <v>7</v>
      </c>
    </row>
    <row r="26" spans="1:8" ht="15" x14ac:dyDescent="0.2">
      <c r="A26" s="12">
        <v>1</v>
      </c>
      <c r="B26" s="21">
        <f t="shared" ref="B26:B31" ca="1" si="2">TODAY()</f>
        <v>45945</v>
      </c>
      <c r="C26" s="12">
        <v>14</v>
      </c>
      <c r="D26" s="21">
        <f t="shared" ref="D26:D31" ca="1" si="3">SUM(B26+C26)</f>
        <v>45959</v>
      </c>
      <c r="E26" s="27" t="s">
        <v>55</v>
      </c>
      <c r="F26" s="88" t="s">
        <v>265</v>
      </c>
      <c r="G26" s="12"/>
    </row>
    <row r="27" spans="1:8" ht="15" x14ac:dyDescent="0.2">
      <c r="A27" s="12">
        <v>2</v>
      </c>
      <c r="B27" s="21">
        <f t="shared" ca="1" si="2"/>
        <v>45945</v>
      </c>
      <c r="C27" s="12">
        <v>14</v>
      </c>
      <c r="D27" s="21">
        <f t="shared" ca="1" si="3"/>
        <v>45959</v>
      </c>
      <c r="E27" s="27" t="s">
        <v>55</v>
      </c>
      <c r="F27" s="88" t="s">
        <v>262</v>
      </c>
      <c r="G27" s="12"/>
    </row>
    <row r="28" spans="1:8" ht="15" x14ac:dyDescent="0.2">
      <c r="A28" s="12">
        <v>3</v>
      </c>
      <c r="B28" s="21">
        <f t="shared" ca="1" si="2"/>
        <v>45945</v>
      </c>
      <c r="C28" s="12">
        <v>14</v>
      </c>
      <c r="D28" s="21">
        <f t="shared" ca="1" si="3"/>
        <v>45959</v>
      </c>
      <c r="E28" s="27" t="s">
        <v>55</v>
      </c>
      <c r="F28" s="88" t="s">
        <v>279</v>
      </c>
      <c r="G28" s="12"/>
    </row>
    <row r="29" spans="1:8" ht="15" x14ac:dyDescent="0.2">
      <c r="A29" s="12">
        <v>4</v>
      </c>
      <c r="B29" s="21">
        <f t="shared" ca="1" si="2"/>
        <v>45945</v>
      </c>
      <c r="C29" s="12">
        <v>14</v>
      </c>
      <c r="D29" s="21">
        <f t="shared" ca="1" si="3"/>
        <v>45959</v>
      </c>
      <c r="E29" s="27" t="s">
        <v>55</v>
      </c>
      <c r="F29" s="88" t="s">
        <v>266</v>
      </c>
      <c r="G29" s="12"/>
    </row>
    <row r="30" spans="1:8" ht="15" x14ac:dyDescent="0.2">
      <c r="A30" s="12">
        <v>5</v>
      </c>
      <c r="B30" s="21">
        <f t="shared" ca="1" si="2"/>
        <v>45945</v>
      </c>
      <c r="C30" s="12">
        <v>14</v>
      </c>
      <c r="D30" s="21">
        <f t="shared" ca="1" si="3"/>
        <v>45959</v>
      </c>
      <c r="E30" s="27" t="s">
        <v>55</v>
      </c>
      <c r="F30" s="88" t="s">
        <v>280</v>
      </c>
      <c r="G30" s="12"/>
    </row>
    <row r="31" spans="1:8" ht="15" x14ac:dyDescent="0.2">
      <c r="A31" s="12">
        <v>6</v>
      </c>
      <c r="B31" s="21">
        <f t="shared" ca="1" si="2"/>
        <v>45945</v>
      </c>
      <c r="C31" s="12">
        <v>14</v>
      </c>
      <c r="D31" s="21">
        <f t="shared" ca="1" si="3"/>
        <v>45959</v>
      </c>
      <c r="E31" s="27" t="s">
        <v>55</v>
      </c>
      <c r="F31" s="88" t="s">
        <v>281</v>
      </c>
      <c r="G31" s="12"/>
    </row>
    <row r="32" spans="1:8" s="7" customFormat="1" ht="15" x14ac:dyDescent="0.2">
      <c r="B32" s="25"/>
      <c r="C32" s="25"/>
      <c r="D32" s="23"/>
      <c r="E32" s="23"/>
      <c r="F32" s="23"/>
      <c r="G32" s="22"/>
    </row>
    <row r="33" spans="1:27" s="7" customFormat="1" ht="15.75" x14ac:dyDescent="0.25">
      <c r="A33" s="34" t="s">
        <v>618</v>
      </c>
      <c r="B33" s="26" t="s">
        <v>112</v>
      </c>
      <c r="C33" s="26" t="s">
        <v>11</v>
      </c>
      <c r="D33" s="26" t="s">
        <v>200</v>
      </c>
      <c r="E33" s="26" t="s">
        <v>6</v>
      </c>
      <c r="F33" s="87" t="s">
        <v>470</v>
      </c>
      <c r="G33" s="110" t="s">
        <v>586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s="7" customFormat="1" ht="15" x14ac:dyDescent="0.2">
      <c r="A34" s="12" t="s">
        <v>568</v>
      </c>
      <c r="B34" s="21">
        <f t="shared" ref="B34:B35" ca="1" si="4">TODAY()</f>
        <v>45945</v>
      </c>
      <c r="C34" s="12">
        <v>14</v>
      </c>
      <c r="D34" s="21">
        <f t="shared" ref="D34:D35" ca="1" si="5">SUM(B34+C34)</f>
        <v>45959</v>
      </c>
      <c r="E34" s="27" t="s">
        <v>55</v>
      </c>
      <c r="F34" s="49"/>
      <c r="G34" s="12"/>
    </row>
    <row r="35" spans="1:27" ht="15" x14ac:dyDescent="0.2">
      <c r="A35" s="12" t="s">
        <v>569</v>
      </c>
      <c r="B35" s="21">
        <f t="shared" ca="1" si="4"/>
        <v>45945</v>
      </c>
      <c r="C35" s="12">
        <v>14</v>
      </c>
      <c r="D35" s="21">
        <f t="shared" ca="1" si="5"/>
        <v>45959</v>
      </c>
      <c r="E35" s="27" t="s">
        <v>55</v>
      </c>
      <c r="F35" s="49"/>
      <c r="G35" s="12"/>
    </row>
    <row r="36" spans="1:27" ht="15.75" x14ac:dyDescent="0.25">
      <c r="A36" s="266" t="s">
        <v>1</v>
      </c>
      <c r="B36" s="267"/>
      <c r="C36" s="267"/>
      <c r="D36" s="267"/>
      <c r="E36" s="267"/>
      <c r="F36" s="267"/>
      <c r="G36" s="269"/>
    </row>
    <row r="37" spans="1:27" ht="15.75" x14ac:dyDescent="0.25">
      <c r="A37" s="114" t="s">
        <v>29</v>
      </c>
      <c r="B37" s="26" t="s">
        <v>112</v>
      </c>
      <c r="C37" s="26" t="s">
        <v>11</v>
      </c>
      <c r="D37" s="26" t="s">
        <v>200</v>
      </c>
      <c r="E37" s="26" t="s">
        <v>6</v>
      </c>
      <c r="F37" s="123" t="s">
        <v>7</v>
      </c>
      <c r="G37" s="135"/>
    </row>
    <row r="38" spans="1:27" ht="15" x14ac:dyDescent="0.2">
      <c r="A38" s="12">
        <v>1</v>
      </c>
      <c r="B38" s="21">
        <f ca="1">TODAY()</f>
        <v>45945</v>
      </c>
      <c r="C38" s="12">
        <v>14</v>
      </c>
      <c r="D38" s="21">
        <f ca="1">SUM(B38+C38)</f>
        <v>45959</v>
      </c>
      <c r="E38" s="27" t="s">
        <v>55</v>
      </c>
      <c r="F38" s="88"/>
      <c r="G38" s="12"/>
    </row>
    <row r="39" spans="1:27" ht="15" x14ac:dyDescent="0.2">
      <c r="A39" s="12">
        <v>2</v>
      </c>
      <c r="B39" s="21">
        <f ca="1">TODAY()</f>
        <v>45945</v>
      </c>
      <c r="C39" s="12">
        <v>14</v>
      </c>
      <c r="D39" s="21">
        <f ca="1">SUM(B39+C39)</f>
        <v>45959</v>
      </c>
      <c r="E39" s="27" t="s">
        <v>55</v>
      </c>
      <c r="F39" s="88"/>
      <c r="G39" s="12"/>
    </row>
    <row r="40" spans="1:27" ht="15" x14ac:dyDescent="0.2">
      <c r="A40" s="12">
        <v>3</v>
      </c>
      <c r="B40" s="21">
        <f ca="1">TODAY()</f>
        <v>45945</v>
      </c>
      <c r="C40" s="12">
        <v>14</v>
      </c>
      <c r="D40" s="21">
        <f ca="1">SUM(B40+C40)</f>
        <v>45959</v>
      </c>
      <c r="E40" s="27" t="s">
        <v>55</v>
      </c>
      <c r="F40" s="88"/>
      <c r="G40" s="12"/>
    </row>
    <row r="41" spans="1:27" ht="15" x14ac:dyDescent="0.2">
      <c r="A41" s="7"/>
      <c r="B41" s="7"/>
      <c r="C41" s="25"/>
      <c r="D41" s="23"/>
      <c r="E41" s="23"/>
      <c r="F41" s="23"/>
      <c r="G41" s="23"/>
    </row>
    <row r="42" spans="1:27" ht="15" x14ac:dyDescent="0.2">
      <c r="A42" s="25"/>
      <c r="B42" s="25"/>
      <c r="C42" s="23"/>
      <c r="D42" s="23"/>
      <c r="E42" s="23"/>
      <c r="F42" s="23"/>
      <c r="G42" s="23"/>
    </row>
    <row r="43" spans="1:27" ht="15" x14ac:dyDescent="0.2">
      <c r="A43" s="25"/>
      <c r="B43" s="25"/>
      <c r="C43" s="23"/>
      <c r="D43" s="23"/>
      <c r="E43" s="23"/>
      <c r="F43" s="23"/>
      <c r="G43" s="23"/>
    </row>
    <row r="44" spans="1:27" ht="15" x14ac:dyDescent="0.2">
      <c r="A44" s="25"/>
      <c r="B44" s="25"/>
      <c r="C44" s="23"/>
      <c r="D44" s="23"/>
      <c r="E44" s="23"/>
      <c r="F44" s="23"/>
      <c r="G44" s="23"/>
    </row>
    <row r="45" spans="1:27" ht="15" x14ac:dyDescent="0.2">
      <c r="A45" s="25"/>
      <c r="B45" s="25"/>
      <c r="C45" s="23"/>
      <c r="D45" s="23"/>
      <c r="E45" s="23"/>
      <c r="F45" s="23"/>
      <c r="G45" s="23"/>
    </row>
    <row r="46" spans="1:27" ht="15" x14ac:dyDescent="0.2">
      <c r="A46" s="25"/>
      <c r="B46" s="25"/>
      <c r="C46" s="23"/>
      <c r="D46" s="23"/>
      <c r="E46" s="23"/>
      <c r="F46" s="23"/>
      <c r="G46" s="23"/>
    </row>
    <row r="47" spans="1:27" ht="15" x14ac:dyDescent="0.2">
      <c r="A47" s="25"/>
      <c r="B47" s="25"/>
      <c r="C47" s="23"/>
      <c r="D47" s="23"/>
      <c r="E47" s="23"/>
      <c r="F47" s="23"/>
      <c r="G47" s="23"/>
    </row>
    <row r="49" s="9" customFormat="1" x14ac:dyDescent="0.2"/>
    <row r="50" s="9" customFormat="1" x14ac:dyDescent="0.2"/>
  </sheetData>
  <mergeCells count="3">
    <mergeCell ref="A9:G9"/>
    <mergeCell ref="A14:G14"/>
    <mergeCell ref="A36:G36"/>
  </mergeCells>
  <dataValidations count="3">
    <dataValidation type="list" allowBlank="1" showInputMessage="1" showErrorMessage="1" sqref="E38:E40 E26:E31 E16 E19:E20 E22:E24 E34:E35 E11" xr:uid="{F707AEC1-A4A4-483E-ADA7-DDD6B9F26CE7}">
      <formula1>"Untrained, In Progress, Retrain, Trained,Proficient"</formula1>
    </dataValidation>
    <dataValidation type="list" allowBlank="1" showInputMessage="1" showErrorMessage="1" sqref="B6:B7" xr:uid="{40E50019-4249-4D77-B5F5-323571278917}">
      <formula1>"Yes,No"</formula1>
    </dataValidation>
    <dataValidation type="list" allowBlank="1" showInputMessage="1" showErrorMessage="1" sqref="B2" xr:uid="{185AC2A5-C95B-4D52-B33D-42B18C2DFD44}">
      <formula1>"Red Stripe, Red Belt"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6CBE-1B35-46EB-B751-E9B1BBF0C39A}">
  <dimension ref="A1:AA81"/>
  <sheetViews>
    <sheetView zoomScale="85" zoomScaleNormal="85" workbookViewId="0">
      <selection activeCell="F3" sqref="F3"/>
    </sheetView>
  </sheetViews>
  <sheetFormatPr defaultColWidth="8.85546875" defaultRowHeight="14.25" x14ac:dyDescent="0.2"/>
  <cols>
    <col min="1" max="1" width="34.5703125" style="9" bestFit="1" customWidth="1"/>
    <col min="2" max="2" width="24.85546875" style="9" bestFit="1" customWidth="1"/>
    <col min="3" max="3" width="19" style="9" bestFit="1" customWidth="1"/>
    <col min="4" max="4" width="20.42578125" style="9" bestFit="1" customWidth="1"/>
    <col min="5" max="5" width="10.42578125" style="9" bestFit="1" customWidth="1"/>
    <col min="6" max="6" width="17.85546875" style="9" bestFit="1" customWidth="1"/>
    <col min="7" max="7" width="80.140625" style="9" customWidth="1"/>
    <col min="8" max="16384" width="8.85546875" style="9"/>
  </cols>
  <sheetData>
    <row r="1" spans="1:8" ht="15" x14ac:dyDescent="0.2">
      <c r="A1" s="19" t="s">
        <v>69</v>
      </c>
      <c r="B1" s="39"/>
      <c r="C1" s="19" t="s">
        <v>87</v>
      </c>
      <c r="D1" s="21">
        <f ca="1">TODAY()</f>
        <v>45945</v>
      </c>
      <c r="E1" s="23"/>
      <c r="F1" s="23"/>
      <c r="G1" s="23"/>
    </row>
    <row r="2" spans="1:8" ht="20.25" x14ac:dyDescent="0.3">
      <c r="A2" s="19" t="s">
        <v>78</v>
      </c>
      <c r="B2" s="120" t="s">
        <v>24</v>
      </c>
      <c r="C2" s="19" t="s">
        <v>5</v>
      </c>
      <c r="D2" s="21">
        <f>VLOOKUP(B3,Target,4,0)</f>
        <v>44387</v>
      </c>
      <c r="E2" s="23"/>
      <c r="F2" s="23"/>
      <c r="G2" s="23"/>
    </row>
    <row r="3" spans="1:8" ht="20.25" x14ac:dyDescent="0.3">
      <c r="A3" s="19" t="s">
        <v>8</v>
      </c>
      <c r="B3" s="121" t="s">
        <v>25</v>
      </c>
      <c r="C3" s="19" t="s">
        <v>12</v>
      </c>
      <c r="D3" s="22">
        <f ca="1">SUM(D2-(TODAY()))</f>
        <v>-1558</v>
      </c>
      <c r="F3" s="23"/>
      <c r="G3" s="23"/>
    </row>
    <row r="4" spans="1:8" ht="15" x14ac:dyDescent="0.2">
      <c r="A4" s="25"/>
      <c r="B4" s="25"/>
      <c r="C4" s="23"/>
      <c r="D4" s="23"/>
      <c r="E4" s="23"/>
      <c r="F4" s="23"/>
      <c r="G4" s="23"/>
    </row>
    <row r="5" spans="1:8" s="25" customFormat="1" ht="20.25" x14ac:dyDescent="0.3">
      <c r="A5" s="147" t="s">
        <v>106</v>
      </c>
      <c r="B5" s="31" t="s">
        <v>595</v>
      </c>
      <c r="C5" s="91"/>
      <c r="D5" s="91"/>
      <c r="E5" s="91"/>
      <c r="F5" s="91"/>
      <c r="G5" s="91"/>
    </row>
    <row r="6" spans="1:8" s="25" customFormat="1" ht="15.75" x14ac:dyDescent="0.25">
      <c r="A6" s="34" t="s">
        <v>620</v>
      </c>
      <c r="B6" s="31"/>
      <c r="C6" s="91"/>
      <c r="D6" s="91"/>
      <c r="E6" s="91"/>
      <c r="F6" s="91"/>
      <c r="G6" s="91"/>
    </row>
    <row r="7" spans="1:8" s="25" customFormat="1" ht="15.75" x14ac:dyDescent="0.25">
      <c r="A7" s="130" t="s">
        <v>29</v>
      </c>
      <c r="B7" s="31"/>
      <c r="C7" s="91"/>
      <c r="D7" s="91"/>
      <c r="E7" s="91"/>
      <c r="F7" s="91"/>
      <c r="G7" s="91"/>
    </row>
    <row r="8" spans="1:8" s="25" customFormat="1" ht="15.75" x14ac:dyDescent="0.25">
      <c r="A8" s="34" t="s">
        <v>424</v>
      </c>
      <c r="B8" s="31"/>
      <c r="C8" s="91"/>
      <c r="D8" s="91"/>
      <c r="E8" s="91"/>
      <c r="F8" s="91"/>
      <c r="G8" s="91"/>
    </row>
    <row r="9" spans="1:8" ht="15" x14ac:dyDescent="0.2">
      <c r="A9" s="25"/>
      <c r="B9" s="25"/>
      <c r="C9" s="23"/>
      <c r="D9" s="23"/>
      <c r="E9" s="23"/>
      <c r="F9" s="23"/>
      <c r="G9" s="23"/>
    </row>
    <row r="10" spans="1:8" s="25" customFormat="1" ht="15.75" x14ac:dyDescent="0.25">
      <c r="A10" s="268" t="s">
        <v>348</v>
      </c>
      <c r="B10" s="268"/>
      <c r="C10" s="268"/>
      <c r="D10" s="268"/>
      <c r="E10" s="268"/>
      <c r="F10" s="268"/>
      <c r="G10" s="268"/>
    </row>
    <row r="11" spans="1:8" s="25" customFormat="1" ht="15.75" x14ac:dyDescent="0.25">
      <c r="A11" s="34"/>
      <c r="B11" s="26" t="s">
        <v>112</v>
      </c>
      <c r="C11" s="26" t="s">
        <v>11</v>
      </c>
      <c r="D11" s="26" t="s">
        <v>200</v>
      </c>
      <c r="E11" s="26" t="s">
        <v>6</v>
      </c>
      <c r="F11" s="26" t="s">
        <v>470</v>
      </c>
      <c r="G11" s="46" t="s">
        <v>585</v>
      </c>
    </row>
    <row r="12" spans="1:8" s="25" customFormat="1" ht="15.75" x14ac:dyDescent="0.25">
      <c r="A12" s="37" t="s">
        <v>350</v>
      </c>
      <c r="B12" s="101"/>
      <c r="C12" s="101"/>
      <c r="D12" s="101"/>
      <c r="E12" s="101"/>
      <c r="F12" s="36" t="s">
        <v>351</v>
      </c>
      <c r="G12" s="102"/>
    </row>
    <row r="13" spans="1:8" s="25" customFormat="1" ht="15.75" x14ac:dyDescent="0.25">
      <c r="A13" s="37"/>
      <c r="B13" s="101"/>
      <c r="C13" s="101"/>
      <c r="D13" s="101"/>
      <c r="E13" s="101"/>
      <c r="F13" s="36"/>
      <c r="G13" s="102"/>
      <c r="H13" s="92"/>
    </row>
    <row r="14" spans="1:8" s="92" customFormat="1" ht="15.75" x14ac:dyDescent="0.25">
      <c r="A14" s="37"/>
      <c r="B14" s="101"/>
      <c r="C14" s="101"/>
      <c r="D14" s="101"/>
      <c r="E14" s="101"/>
      <c r="F14" s="36"/>
      <c r="G14" s="102"/>
      <c r="H14" s="9"/>
    </row>
    <row r="15" spans="1:8" ht="15.75" x14ac:dyDescent="0.25">
      <c r="A15" s="94"/>
      <c r="B15" s="21"/>
      <c r="C15" s="12"/>
      <c r="D15" s="21"/>
      <c r="E15" s="12"/>
      <c r="F15" s="100"/>
      <c r="G15" s="99"/>
    </row>
    <row r="16" spans="1:8" ht="15" x14ac:dyDescent="0.2">
      <c r="A16" s="284"/>
      <c r="B16" s="285"/>
      <c r="C16" s="285"/>
      <c r="D16" s="285"/>
      <c r="E16" s="285"/>
      <c r="F16" s="285"/>
      <c r="G16" s="286"/>
      <c r="H16" s="25"/>
    </row>
    <row r="17" spans="1:27" s="7" customFormat="1" ht="15.75" x14ac:dyDescent="0.25">
      <c r="A17" s="268" t="s">
        <v>0</v>
      </c>
      <c r="B17" s="268"/>
      <c r="C17" s="268"/>
      <c r="D17" s="268"/>
      <c r="E17" s="268"/>
      <c r="F17" s="268"/>
      <c r="G17" s="268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7" customFormat="1" ht="15.75" x14ac:dyDescent="0.25">
      <c r="A18" s="34" t="s">
        <v>426</v>
      </c>
      <c r="B18" s="26" t="s">
        <v>112</v>
      </c>
      <c r="C18" s="26" t="s">
        <v>11</v>
      </c>
      <c r="D18" s="26" t="s">
        <v>200</v>
      </c>
      <c r="E18" s="26" t="s">
        <v>6</v>
      </c>
      <c r="F18" s="26" t="s">
        <v>470</v>
      </c>
      <c r="G18" s="110" t="s">
        <v>427</v>
      </c>
      <c r="H18" s="9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ht="15" x14ac:dyDescent="0.2">
      <c r="A19" s="35" t="s">
        <v>443</v>
      </c>
      <c r="B19" s="21">
        <f t="shared" ref="B19" ca="1" si="0">TODAY()</f>
        <v>45945</v>
      </c>
      <c r="C19" s="12">
        <v>14</v>
      </c>
      <c r="D19" s="21">
        <f t="shared" ref="D19" ca="1" si="1">SUM(B19+C19)</f>
        <v>45959</v>
      </c>
      <c r="E19" s="12" t="s">
        <v>56</v>
      </c>
      <c r="F19" s="35" t="s">
        <v>444</v>
      </c>
      <c r="G19" s="106"/>
      <c r="H19" s="25"/>
    </row>
    <row r="20" spans="1:27" s="25" customFormat="1" ht="15" x14ac:dyDescent="0.2">
      <c r="A20" s="37"/>
      <c r="B20" s="37"/>
      <c r="C20" s="22"/>
      <c r="D20" s="22"/>
      <c r="E20" s="22"/>
      <c r="F20" s="22"/>
      <c r="G20" s="22"/>
    </row>
    <row r="21" spans="1:27" s="25" customFormat="1" ht="15.75" x14ac:dyDescent="0.25">
      <c r="A21" s="34" t="s">
        <v>393</v>
      </c>
      <c r="B21" s="26" t="s">
        <v>112</v>
      </c>
      <c r="C21" s="26" t="s">
        <v>11</v>
      </c>
      <c r="D21" s="26" t="s">
        <v>200</v>
      </c>
      <c r="E21" s="26" t="s">
        <v>6</v>
      </c>
      <c r="F21" s="26" t="s">
        <v>470</v>
      </c>
      <c r="G21" s="46" t="s">
        <v>466</v>
      </c>
      <c r="H21" s="92"/>
    </row>
    <row r="22" spans="1:27" s="92" customFormat="1" ht="15" x14ac:dyDescent="0.2">
      <c r="A22" s="12" t="s">
        <v>400</v>
      </c>
      <c r="B22" s="21">
        <f ca="1">TODAY()</f>
        <v>45945</v>
      </c>
      <c r="C22" s="12">
        <v>14</v>
      </c>
      <c r="D22" s="21">
        <f ca="1">SUM(B22+C22)</f>
        <v>45959</v>
      </c>
      <c r="E22" s="12" t="s">
        <v>56</v>
      </c>
      <c r="F22" s="35"/>
      <c r="G22" s="47"/>
      <c r="H22" s="25"/>
    </row>
    <row r="23" spans="1:27" s="25" customFormat="1" ht="15.75" x14ac:dyDescent="0.25">
      <c r="A23" s="94"/>
      <c r="B23" s="21"/>
      <c r="C23" s="12"/>
      <c r="D23" s="21"/>
      <c r="E23" s="12"/>
      <c r="F23" s="100"/>
      <c r="G23" s="99"/>
    </row>
    <row r="24" spans="1:27" s="25" customFormat="1" ht="15.75" x14ac:dyDescent="0.25">
      <c r="A24" s="34" t="s">
        <v>438</v>
      </c>
      <c r="B24" s="26" t="s">
        <v>112</v>
      </c>
      <c r="C24" s="26" t="s">
        <v>11</v>
      </c>
      <c r="D24" s="26" t="s">
        <v>200</v>
      </c>
      <c r="E24" s="26" t="s">
        <v>6</v>
      </c>
      <c r="F24" s="26" t="s">
        <v>470</v>
      </c>
      <c r="G24" s="46" t="s">
        <v>467</v>
      </c>
    </row>
    <row r="25" spans="1:27" s="25" customFormat="1" ht="15" x14ac:dyDescent="0.2">
      <c r="A25" s="12" t="s">
        <v>517</v>
      </c>
      <c r="B25" s="21">
        <f ca="1">TODAY()</f>
        <v>45945</v>
      </c>
      <c r="C25" s="12">
        <v>14</v>
      </c>
      <c r="D25" s="21">
        <f ca="1">SUM(B25+C25)</f>
        <v>45959</v>
      </c>
      <c r="E25" s="12" t="s">
        <v>56</v>
      </c>
      <c r="F25" s="35"/>
      <c r="G25" s="47"/>
    </row>
    <row r="26" spans="1:27" s="25" customFormat="1" ht="15" x14ac:dyDescent="0.2">
      <c r="A26" s="12" t="s">
        <v>527</v>
      </c>
      <c r="B26" s="21">
        <f t="shared" ref="B26:B29" ca="1" si="2">TODAY()</f>
        <v>45945</v>
      </c>
      <c r="C26" s="12">
        <v>14</v>
      </c>
      <c r="D26" s="21">
        <f t="shared" ref="D26:D29" ca="1" si="3">SUM(B26+C26)</f>
        <v>45959</v>
      </c>
      <c r="E26" s="12" t="s">
        <v>56</v>
      </c>
      <c r="F26" s="35"/>
      <c r="G26" s="47"/>
    </row>
    <row r="27" spans="1:27" s="25" customFormat="1" ht="15" x14ac:dyDescent="0.2">
      <c r="A27" s="12" t="s">
        <v>528</v>
      </c>
      <c r="B27" s="21">
        <f t="shared" ca="1" si="2"/>
        <v>45945</v>
      </c>
      <c r="C27" s="12">
        <v>14</v>
      </c>
      <c r="D27" s="21">
        <f t="shared" ca="1" si="3"/>
        <v>45959</v>
      </c>
      <c r="E27" s="12" t="s">
        <v>56</v>
      </c>
      <c r="F27" s="35"/>
      <c r="G27" s="47"/>
    </row>
    <row r="28" spans="1:27" s="25" customFormat="1" ht="15" x14ac:dyDescent="0.2">
      <c r="A28" s="12"/>
      <c r="B28" s="21">
        <f t="shared" ca="1" si="2"/>
        <v>45945</v>
      </c>
      <c r="C28" s="12">
        <v>14</v>
      </c>
      <c r="D28" s="21">
        <f t="shared" ca="1" si="3"/>
        <v>45959</v>
      </c>
      <c r="E28" s="12" t="s">
        <v>56</v>
      </c>
      <c r="F28" s="35"/>
      <c r="G28" s="47"/>
      <c r="H28" s="92"/>
    </row>
    <row r="29" spans="1:27" s="92" customFormat="1" ht="15" x14ac:dyDescent="0.2">
      <c r="A29" s="12"/>
      <c r="B29" s="21">
        <f t="shared" ca="1" si="2"/>
        <v>45945</v>
      </c>
      <c r="C29" s="12">
        <v>14</v>
      </c>
      <c r="D29" s="21">
        <f t="shared" ca="1" si="3"/>
        <v>45959</v>
      </c>
      <c r="E29" s="12" t="s">
        <v>56</v>
      </c>
      <c r="F29" s="35"/>
      <c r="G29" s="47"/>
      <c r="H29" s="9"/>
    </row>
    <row r="30" spans="1:27" ht="15" x14ac:dyDescent="0.2">
      <c r="A30" s="270"/>
      <c r="B30" s="271"/>
      <c r="C30" s="271"/>
      <c r="D30" s="271"/>
      <c r="E30" s="271"/>
      <c r="F30" s="271"/>
      <c r="G30" s="272"/>
    </row>
    <row r="31" spans="1:27" ht="15.75" x14ac:dyDescent="0.25">
      <c r="A31" s="34" t="s">
        <v>27</v>
      </c>
      <c r="B31" s="26" t="s">
        <v>112</v>
      </c>
      <c r="C31" s="26" t="s">
        <v>11</v>
      </c>
      <c r="D31" s="26" t="s">
        <v>200</v>
      </c>
      <c r="E31" s="26" t="s">
        <v>6</v>
      </c>
      <c r="F31" s="26" t="s">
        <v>470</v>
      </c>
      <c r="G31" s="108" t="s">
        <v>7</v>
      </c>
    </row>
    <row r="32" spans="1:27" ht="15" x14ac:dyDescent="0.2">
      <c r="A32" s="12">
        <v>1</v>
      </c>
      <c r="B32" s="21">
        <f t="shared" ref="B32:B46" ca="1" si="4">TODAY()</f>
        <v>45945</v>
      </c>
      <c r="C32" s="12">
        <v>14</v>
      </c>
      <c r="D32" s="21">
        <f t="shared" ref="D32:D46" ca="1" si="5">SUM(B32+C32)</f>
        <v>45959</v>
      </c>
      <c r="E32" s="27" t="s">
        <v>55</v>
      </c>
      <c r="F32" s="90" t="s">
        <v>282</v>
      </c>
      <c r="G32" s="35"/>
    </row>
    <row r="33" spans="1:8" ht="15" x14ac:dyDescent="0.2">
      <c r="A33" s="12">
        <v>2</v>
      </c>
      <c r="B33" s="21">
        <f t="shared" ca="1" si="4"/>
        <v>45945</v>
      </c>
      <c r="C33" s="12">
        <v>14</v>
      </c>
      <c r="D33" s="21">
        <f t="shared" ca="1" si="5"/>
        <v>45959</v>
      </c>
      <c r="E33" s="27" t="s">
        <v>55</v>
      </c>
      <c r="F33" s="90" t="s">
        <v>283</v>
      </c>
      <c r="G33" s="12"/>
    </row>
    <row r="34" spans="1:8" ht="15" x14ac:dyDescent="0.2">
      <c r="A34" s="12">
        <v>3</v>
      </c>
      <c r="B34" s="21">
        <f t="shared" ca="1" si="4"/>
        <v>45945</v>
      </c>
      <c r="C34" s="12">
        <v>14</v>
      </c>
      <c r="D34" s="21">
        <f t="shared" ca="1" si="5"/>
        <v>45959</v>
      </c>
      <c r="E34" s="27" t="s">
        <v>55</v>
      </c>
      <c r="F34" s="90" t="s">
        <v>284</v>
      </c>
      <c r="G34" s="12"/>
    </row>
    <row r="35" spans="1:8" ht="15" x14ac:dyDescent="0.2">
      <c r="A35" s="12">
        <v>4</v>
      </c>
      <c r="B35" s="21">
        <f t="shared" ca="1" si="4"/>
        <v>45945</v>
      </c>
      <c r="C35" s="12">
        <v>14</v>
      </c>
      <c r="D35" s="21">
        <f t="shared" ca="1" si="5"/>
        <v>45959</v>
      </c>
      <c r="E35" s="27" t="s">
        <v>55</v>
      </c>
      <c r="F35" s="90" t="s">
        <v>285</v>
      </c>
      <c r="G35" s="12"/>
    </row>
    <row r="36" spans="1:8" ht="15" x14ac:dyDescent="0.2">
      <c r="A36" s="12">
        <v>5</v>
      </c>
      <c r="B36" s="21">
        <f t="shared" ca="1" si="4"/>
        <v>45945</v>
      </c>
      <c r="C36" s="12">
        <v>14</v>
      </c>
      <c r="D36" s="21">
        <f t="shared" ca="1" si="5"/>
        <v>45959</v>
      </c>
      <c r="E36" s="27" t="s">
        <v>55</v>
      </c>
      <c r="F36" s="90" t="s">
        <v>286</v>
      </c>
      <c r="G36" s="12"/>
    </row>
    <row r="37" spans="1:8" ht="15" x14ac:dyDescent="0.2">
      <c r="A37" s="12">
        <v>6</v>
      </c>
      <c r="B37" s="21">
        <f t="shared" ca="1" si="4"/>
        <v>45945</v>
      </c>
      <c r="C37" s="12">
        <v>14</v>
      </c>
      <c r="D37" s="21">
        <f t="shared" ca="1" si="5"/>
        <v>45959</v>
      </c>
      <c r="E37" s="27" t="s">
        <v>55</v>
      </c>
      <c r="F37" s="90" t="s">
        <v>287</v>
      </c>
      <c r="G37" s="12"/>
    </row>
    <row r="38" spans="1:8" ht="15" x14ac:dyDescent="0.2">
      <c r="A38" s="12">
        <v>7</v>
      </c>
      <c r="B38" s="21">
        <f t="shared" ca="1" si="4"/>
        <v>45945</v>
      </c>
      <c r="C38" s="12">
        <v>14</v>
      </c>
      <c r="D38" s="21">
        <f t="shared" ca="1" si="5"/>
        <v>45959</v>
      </c>
      <c r="E38" s="27" t="s">
        <v>55</v>
      </c>
      <c r="F38" s="90" t="s">
        <v>288</v>
      </c>
      <c r="G38" s="12"/>
    </row>
    <row r="39" spans="1:8" ht="15" x14ac:dyDescent="0.2">
      <c r="A39" s="12">
        <v>8</v>
      </c>
      <c r="B39" s="21">
        <f t="shared" ca="1" si="4"/>
        <v>45945</v>
      </c>
      <c r="C39" s="12">
        <v>14</v>
      </c>
      <c r="D39" s="21">
        <f t="shared" ca="1" si="5"/>
        <v>45959</v>
      </c>
      <c r="E39" s="27" t="s">
        <v>55</v>
      </c>
      <c r="F39" s="90" t="s">
        <v>289</v>
      </c>
      <c r="G39" s="12"/>
    </row>
    <row r="40" spans="1:8" ht="15" x14ac:dyDescent="0.2">
      <c r="A40" s="12">
        <v>9</v>
      </c>
      <c r="B40" s="21">
        <f t="shared" ca="1" si="4"/>
        <v>45945</v>
      </c>
      <c r="C40" s="12">
        <v>14</v>
      </c>
      <c r="D40" s="21">
        <f t="shared" ca="1" si="5"/>
        <v>45959</v>
      </c>
      <c r="E40" s="27" t="s">
        <v>55</v>
      </c>
      <c r="F40" s="90" t="s">
        <v>290</v>
      </c>
      <c r="G40" s="12"/>
    </row>
    <row r="41" spans="1:8" ht="15" x14ac:dyDescent="0.2">
      <c r="A41" s="12">
        <v>10</v>
      </c>
      <c r="B41" s="21">
        <f t="shared" ca="1" si="4"/>
        <v>45945</v>
      </c>
      <c r="C41" s="12">
        <v>14</v>
      </c>
      <c r="D41" s="21">
        <f t="shared" ca="1" si="5"/>
        <v>45959</v>
      </c>
      <c r="E41" s="27" t="s">
        <v>55</v>
      </c>
      <c r="F41" s="90" t="s">
        <v>291</v>
      </c>
      <c r="G41" s="12"/>
    </row>
    <row r="42" spans="1:8" ht="15" x14ac:dyDescent="0.2">
      <c r="A42" s="12">
        <v>11</v>
      </c>
      <c r="B42" s="21">
        <f t="shared" ca="1" si="4"/>
        <v>45945</v>
      </c>
      <c r="C42" s="12">
        <v>14</v>
      </c>
      <c r="D42" s="21">
        <f t="shared" ca="1" si="5"/>
        <v>45959</v>
      </c>
      <c r="E42" s="27" t="s">
        <v>55</v>
      </c>
      <c r="F42" s="90" t="s">
        <v>292</v>
      </c>
      <c r="G42" s="12"/>
    </row>
    <row r="43" spans="1:8" ht="15" x14ac:dyDescent="0.2">
      <c r="A43" s="12">
        <v>12</v>
      </c>
      <c r="B43" s="21">
        <f t="shared" ca="1" si="4"/>
        <v>45945</v>
      </c>
      <c r="C43" s="12">
        <v>14</v>
      </c>
      <c r="D43" s="21">
        <f t="shared" ca="1" si="5"/>
        <v>45959</v>
      </c>
      <c r="E43" s="27" t="s">
        <v>55</v>
      </c>
      <c r="F43" s="90" t="s">
        <v>293</v>
      </c>
      <c r="G43" s="12"/>
    </row>
    <row r="44" spans="1:8" ht="15" x14ac:dyDescent="0.2">
      <c r="A44" s="12">
        <v>13</v>
      </c>
      <c r="B44" s="21">
        <f t="shared" ca="1" si="4"/>
        <v>45945</v>
      </c>
      <c r="C44" s="12">
        <v>14</v>
      </c>
      <c r="D44" s="21">
        <f t="shared" ca="1" si="5"/>
        <v>45959</v>
      </c>
      <c r="E44" s="27" t="s">
        <v>55</v>
      </c>
      <c r="F44" s="90" t="s">
        <v>294</v>
      </c>
      <c r="G44" s="12"/>
    </row>
    <row r="45" spans="1:8" ht="15" x14ac:dyDescent="0.2">
      <c r="A45" s="12">
        <v>14</v>
      </c>
      <c r="B45" s="21">
        <f t="shared" ca="1" si="4"/>
        <v>45945</v>
      </c>
      <c r="C45" s="12">
        <v>14</v>
      </c>
      <c r="D45" s="21">
        <f t="shared" ca="1" si="5"/>
        <v>45959</v>
      </c>
      <c r="E45" s="27" t="s">
        <v>55</v>
      </c>
      <c r="F45" s="90" t="s">
        <v>295</v>
      </c>
      <c r="G45" s="12"/>
    </row>
    <row r="46" spans="1:8" ht="15" x14ac:dyDescent="0.2">
      <c r="A46" s="12">
        <v>15</v>
      </c>
      <c r="B46" s="21">
        <f t="shared" ca="1" si="4"/>
        <v>45945</v>
      </c>
      <c r="C46" s="12">
        <v>14</v>
      </c>
      <c r="D46" s="21">
        <f t="shared" ca="1" si="5"/>
        <v>45959</v>
      </c>
      <c r="E46" s="27" t="s">
        <v>55</v>
      </c>
      <c r="F46" s="90" t="s">
        <v>296</v>
      </c>
      <c r="G46" s="12"/>
      <c r="H46" s="7"/>
    </row>
    <row r="47" spans="1:8" s="7" customFormat="1" ht="15" x14ac:dyDescent="0.2">
      <c r="A47" s="281"/>
      <c r="B47" s="282"/>
      <c r="C47" s="282"/>
      <c r="D47" s="282"/>
      <c r="E47" s="282"/>
      <c r="F47" s="282"/>
      <c r="G47" s="283"/>
    </row>
    <row r="48" spans="1:8" s="7" customFormat="1" ht="15.75" x14ac:dyDescent="0.25">
      <c r="A48" s="34" t="s">
        <v>571</v>
      </c>
      <c r="B48" s="26" t="s">
        <v>112</v>
      </c>
      <c r="C48" s="26" t="s">
        <v>11</v>
      </c>
      <c r="D48" s="26" t="s">
        <v>200</v>
      </c>
      <c r="E48" s="26" t="s">
        <v>6</v>
      </c>
      <c r="F48" s="26" t="s">
        <v>470</v>
      </c>
      <c r="G48" s="46" t="s">
        <v>588</v>
      </c>
    </row>
    <row r="49" spans="1:8" s="7" customFormat="1" ht="15" x14ac:dyDescent="0.2">
      <c r="A49" s="12" t="s">
        <v>572</v>
      </c>
      <c r="B49" s="21">
        <f t="shared" ref="B49" ca="1" si="6">TODAY()</f>
        <v>45945</v>
      </c>
      <c r="C49" s="12">
        <v>14</v>
      </c>
      <c r="D49" s="21">
        <f t="shared" ref="D49" ca="1" si="7">SUM(B49+C49)</f>
        <v>45959</v>
      </c>
      <c r="E49" s="27" t="s">
        <v>55</v>
      </c>
      <c r="F49" s="12" t="s">
        <v>559</v>
      </c>
      <c r="G49" s="12"/>
    </row>
    <row r="50" spans="1:8" s="7" customFormat="1" ht="15" x14ac:dyDescent="0.2">
      <c r="A50" s="12" t="s">
        <v>573</v>
      </c>
      <c r="B50" s="12" t="s">
        <v>559</v>
      </c>
      <c r="C50" s="12" t="s">
        <v>559</v>
      </c>
      <c r="D50" s="12" t="s">
        <v>559</v>
      </c>
      <c r="E50" s="12" t="s">
        <v>559</v>
      </c>
      <c r="F50" s="12" t="s">
        <v>559</v>
      </c>
      <c r="G50" s="12"/>
      <c r="H50" s="9"/>
    </row>
    <row r="51" spans="1:8" ht="15" x14ac:dyDescent="0.2">
      <c r="A51" s="12" t="s">
        <v>574</v>
      </c>
      <c r="B51" s="12" t="s">
        <v>559</v>
      </c>
      <c r="C51" s="12" t="s">
        <v>559</v>
      </c>
      <c r="D51" s="12" t="s">
        <v>559</v>
      </c>
      <c r="E51" s="12" t="s">
        <v>559</v>
      </c>
      <c r="F51" s="12" t="s">
        <v>559</v>
      </c>
      <c r="G51" s="12"/>
    </row>
    <row r="52" spans="1:8" ht="15" x14ac:dyDescent="0.2">
      <c r="A52" s="270"/>
      <c r="B52" s="271"/>
      <c r="C52" s="271"/>
      <c r="D52" s="271"/>
      <c r="E52" s="271"/>
      <c r="F52" s="271"/>
      <c r="G52" s="272"/>
    </row>
    <row r="53" spans="1:8" ht="15.75" x14ac:dyDescent="0.25">
      <c r="A53" s="268" t="s">
        <v>1</v>
      </c>
      <c r="B53" s="268"/>
      <c r="C53" s="268"/>
      <c r="D53" s="268"/>
      <c r="E53" s="268"/>
      <c r="F53" s="268"/>
      <c r="G53" s="268"/>
    </row>
    <row r="54" spans="1:8" ht="15.75" x14ac:dyDescent="0.25">
      <c r="A54" s="34" t="s">
        <v>571</v>
      </c>
      <c r="B54" s="26" t="s">
        <v>112</v>
      </c>
      <c r="C54" s="26" t="s">
        <v>11</v>
      </c>
      <c r="D54" s="26" t="s">
        <v>200</v>
      </c>
      <c r="E54" s="26" t="s">
        <v>6</v>
      </c>
      <c r="F54" s="257" t="s">
        <v>7</v>
      </c>
      <c r="G54" s="257"/>
    </row>
    <row r="55" spans="1:8" ht="15" x14ac:dyDescent="0.2">
      <c r="A55" s="12">
        <v>4</v>
      </c>
      <c r="B55" s="21">
        <f ca="1">TODAY()</f>
        <v>45945</v>
      </c>
      <c r="C55" s="12">
        <v>14</v>
      </c>
      <c r="D55" s="21" t="s">
        <v>112</v>
      </c>
      <c r="E55" s="27" t="s">
        <v>55</v>
      </c>
      <c r="F55" s="27"/>
      <c r="G55" s="12"/>
    </row>
    <row r="56" spans="1:8" ht="15" x14ac:dyDescent="0.2">
      <c r="A56" s="12">
        <v>5</v>
      </c>
      <c r="B56" s="21">
        <f ca="1">TODAY()</f>
        <v>45945</v>
      </c>
      <c r="C56" s="12">
        <v>14</v>
      </c>
      <c r="D56" s="21" t="s">
        <v>112</v>
      </c>
      <c r="E56" s="27" t="s">
        <v>55</v>
      </c>
      <c r="F56" s="27"/>
      <c r="G56" s="12"/>
    </row>
    <row r="57" spans="1:8" ht="15" x14ac:dyDescent="0.2">
      <c r="A57" s="12">
        <v>6</v>
      </c>
      <c r="B57" s="21">
        <f ca="1">TODAY()</f>
        <v>45945</v>
      </c>
      <c r="C57" s="12">
        <v>14</v>
      </c>
      <c r="D57" s="21" t="s">
        <v>112</v>
      </c>
      <c r="E57" s="27" t="s">
        <v>55</v>
      </c>
      <c r="F57" s="27"/>
      <c r="G57" s="12"/>
      <c r="H57" s="7"/>
    </row>
    <row r="58" spans="1:8" ht="15" x14ac:dyDescent="0.2">
      <c r="A58" s="270"/>
      <c r="B58" s="271"/>
      <c r="C58" s="271"/>
      <c r="D58" s="271"/>
      <c r="E58" s="271"/>
      <c r="F58" s="271"/>
      <c r="G58" s="272"/>
    </row>
    <row r="59" spans="1:8" s="7" customFormat="1" ht="15.75" x14ac:dyDescent="0.25">
      <c r="A59" s="34" t="s">
        <v>570</v>
      </c>
      <c r="B59" s="26" t="s">
        <v>112</v>
      </c>
      <c r="C59" s="26" t="s">
        <v>11</v>
      </c>
      <c r="D59" s="26" t="s">
        <v>200</v>
      </c>
      <c r="E59" s="26" t="s">
        <v>6</v>
      </c>
      <c r="F59" s="26" t="s">
        <v>470</v>
      </c>
      <c r="G59" s="46" t="s">
        <v>587</v>
      </c>
      <c r="H59" s="9"/>
    </row>
    <row r="60" spans="1:8" ht="15" x14ac:dyDescent="0.2">
      <c r="A60" s="12">
        <v>1</v>
      </c>
      <c r="B60" s="21">
        <f t="shared" ref="B60:B74" ca="1" si="8">TODAY()</f>
        <v>45945</v>
      </c>
      <c r="C60" s="12">
        <v>14</v>
      </c>
      <c r="D60" s="21">
        <f t="shared" ref="D60" ca="1" si="9">SUM(B60+C60)</f>
        <v>45959</v>
      </c>
      <c r="E60" s="27" t="s">
        <v>55</v>
      </c>
      <c r="F60" s="12"/>
      <c r="G60" s="12"/>
    </row>
    <row r="61" spans="1:8" ht="15" x14ac:dyDescent="0.2">
      <c r="A61" s="12">
        <v>2</v>
      </c>
      <c r="B61" s="21">
        <f t="shared" ca="1" si="8"/>
        <v>45945</v>
      </c>
      <c r="C61" s="12">
        <v>14</v>
      </c>
      <c r="D61" s="21">
        <f t="shared" ref="D61:D74" ca="1" si="10">SUM(B61+C61)</f>
        <v>45959</v>
      </c>
      <c r="E61" s="27" t="s">
        <v>55</v>
      </c>
      <c r="F61" s="12"/>
      <c r="G61" s="12"/>
    </row>
    <row r="62" spans="1:8" ht="15" x14ac:dyDescent="0.2">
      <c r="A62" s="12">
        <v>3</v>
      </c>
      <c r="B62" s="21">
        <f t="shared" ca="1" si="8"/>
        <v>45945</v>
      </c>
      <c r="C62" s="12">
        <v>14</v>
      </c>
      <c r="D62" s="21">
        <f t="shared" ca="1" si="10"/>
        <v>45959</v>
      </c>
      <c r="E62" s="27" t="s">
        <v>55</v>
      </c>
      <c r="F62" s="12"/>
      <c r="G62" s="12"/>
    </row>
    <row r="63" spans="1:8" ht="15" x14ac:dyDescent="0.2">
      <c r="A63" s="12">
        <v>4</v>
      </c>
      <c r="B63" s="21">
        <f t="shared" ca="1" si="8"/>
        <v>45945</v>
      </c>
      <c r="C63" s="12">
        <v>14</v>
      </c>
      <c r="D63" s="21">
        <f t="shared" ca="1" si="10"/>
        <v>45959</v>
      </c>
      <c r="E63" s="27" t="s">
        <v>55</v>
      </c>
      <c r="F63" s="12"/>
      <c r="G63" s="12"/>
    </row>
    <row r="64" spans="1:8" ht="15" x14ac:dyDescent="0.2">
      <c r="A64" s="12">
        <v>5</v>
      </c>
      <c r="B64" s="21">
        <f t="shared" ca="1" si="8"/>
        <v>45945</v>
      </c>
      <c r="C64" s="12">
        <v>14</v>
      </c>
      <c r="D64" s="21">
        <f t="shared" ca="1" si="10"/>
        <v>45959</v>
      </c>
      <c r="E64" s="27" t="s">
        <v>55</v>
      </c>
      <c r="F64" s="12"/>
      <c r="G64" s="12"/>
    </row>
    <row r="65" spans="1:7" ht="15" x14ac:dyDescent="0.2">
      <c r="A65" s="12">
        <v>6</v>
      </c>
      <c r="B65" s="21">
        <f t="shared" ca="1" si="8"/>
        <v>45945</v>
      </c>
      <c r="C65" s="12">
        <v>14</v>
      </c>
      <c r="D65" s="21">
        <f t="shared" ca="1" si="10"/>
        <v>45959</v>
      </c>
      <c r="E65" s="27" t="s">
        <v>55</v>
      </c>
      <c r="F65" s="12"/>
      <c r="G65" s="12"/>
    </row>
    <row r="66" spans="1:7" ht="15" x14ac:dyDescent="0.2">
      <c r="A66" s="12">
        <v>7</v>
      </c>
      <c r="B66" s="21">
        <f t="shared" ca="1" si="8"/>
        <v>45945</v>
      </c>
      <c r="C66" s="12">
        <v>14</v>
      </c>
      <c r="D66" s="21">
        <f t="shared" ca="1" si="10"/>
        <v>45959</v>
      </c>
      <c r="E66" s="27" t="s">
        <v>55</v>
      </c>
      <c r="F66" s="12"/>
      <c r="G66" s="12"/>
    </row>
    <row r="67" spans="1:7" ht="15" x14ac:dyDescent="0.2">
      <c r="A67" s="12">
        <v>8</v>
      </c>
      <c r="B67" s="21">
        <f t="shared" ca="1" si="8"/>
        <v>45945</v>
      </c>
      <c r="C67" s="12">
        <v>14</v>
      </c>
      <c r="D67" s="21">
        <f t="shared" ca="1" si="10"/>
        <v>45959</v>
      </c>
      <c r="E67" s="27" t="s">
        <v>55</v>
      </c>
      <c r="F67" s="12"/>
      <c r="G67" s="12"/>
    </row>
    <row r="68" spans="1:7" ht="15" x14ac:dyDescent="0.2">
      <c r="A68" s="12">
        <v>9</v>
      </c>
      <c r="B68" s="21">
        <f t="shared" ca="1" si="8"/>
        <v>45945</v>
      </c>
      <c r="C68" s="12">
        <v>14</v>
      </c>
      <c r="D68" s="21">
        <f t="shared" ca="1" si="10"/>
        <v>45959</v>
      </c>
      <c r="E68" s="27" t="s">
        <v>55</v>
      </c>
      <c r="F68" s="12"/>
      <c r="G68" s="12"/>
    </row>
    <row r="69" spans="1:7" ht="15" x14ac:dyDescent="0.2">
      <c r="A69" s="12">
        <v>10</v>
      </c>
      <c r="B69" s="21">
        <f t="shared" ca="1" si="8"/>
        <v>45945</v>
      </c>
      <c r="C69" s="12">
        <v>14</v>
      </c>
      <c r="D69" s="21">
        <f t="shared" ca="1" si="10"/>
        <v>45959</v>
      </c>
      <c r="E69" s="27" t="s">
        <v>55</v>
      </c>
      <c r="F69" s="12"/>
      <c r="G69" s="12"/>
    </row>
    <row r="70" spans="1:7" ht="15" x14ac:dyDescent="0.2">
      <c r="A70" s="12">
        <v>11</v>
      </c>
      <c r="B70" s="21">
        <f t="shared" ca="1" si="8"/>
        <v>45945</v>
      </c>
      <c r="C70" s="12">
        <v>14</v>
      </c>
      <c r="D70" s="21">
        <f t="shared" ca="1" si="10"/>
        <v>45959</v>
      </c>
      <c r="E70" s="27" t="s">
        <v>55</v>
      </c>
      <c r="F70" s="12"/>
      <c r="G70" s="12"/>
    </row>
    <row r="71" spans="1:7" ht="15" x14ac:dyDescent="0.2">
      <c r="A71" s="12">
        <v>12</v>
      </c>
      <c r="B71" s="21">
        <f t="shared" ca="1" si="8"/>
        <v>45945</v>
      </c>
      <c r="C71" s="12">
        <v>14</v>
      </c>
      <c r="D71" s="21">
        <f t="shared" ca="1" si="10"/>
        <v>45959</v>
      </c>
      <c r="E71" s="27" t="s">
        <v>55</v>
      </c>
      <c r="F71" s="12"/>
      <c r="G71" s="12"/>
    </row>
    <row r="72" spans="1:7" ht="15" x14ac:dyDescent="0.2">
      <c r="A72" s="12">
        <v>13</v>
      </c>
      <c r="B72" s="21">
        <f t="shared" ca="1" si="8"/>
        <v>45945</v>
      </c>
      <c r="C72" s="12">
        <v>14</v>
      </c>
      <c r="D72" s="21">
        <f t="shared" ca="1" si="10"/>
        <v>45959</v>
      </c>
      <c r="E72" s="27" t="s">
        <v>55</v>
      </c>
      <c r="F72" s="12"/>
      <c r="G72" s="12"/>
    </row>
    <row r="73" spans="1:7" ht="15" x14ac:dyDescent="0.2">
      <c r="A73" s="12">
        <v>14</v>
      </c>
      <c r="B73" s="21">
        <f t="shared" ca="1" si="8"/>
        <v>45945</v>
      </c>
      <c r="C73" s="12">
        <v>14</v>
      </c>
      <c r="D73" s="21">
        <f t="shared" ca="1" si="10"/>
        <v>45959</v>
      </c>
      <c r="E73" s="27" t="s">
        <v>55</v>
      </c>
      <c r="F73" s="12"/>
      <c r="G73" s="12"/>
    </row>
    <row r="74" spans="1:7" ht="15" x14ac:dyDescent="0.2">
      <c r="A74" s="12">
        <v>15</v>
      </c>
      <c r="B74" s="21">
        <f t="shared" ca="1" si="8"/>
        <v>45945</v>
      </c>
      <c r="C74" s="12">
        <v>14</v>
      </c>
      <c r="D74" s="21">
        <f t="shared" ca="1" si="10"/>
        <v>45959</v>
      </c>
      <c r="E74" s="27" t="s">
        <v>55</v>
      </c>
      <c r="F74" s="12"/>
      <c r="G74" s="12"/>
    </row>
    <row r="81" s="9" customFormat="1" x14ac:dyDescent="0.2"/>
  </sheetData>
  <mergeCells count="9">
    <mergeCell ref="A58:G58"/>
    <mergeCell ref="A17:G17"/>
    <mergeCell ref="A53:G53"/>
    <mergeCell ref="F54:G54"/>
    <mergeCell ref="A10:G10"/>
    <mergeCell ref="A16:G16"/>
    <mergeCell ref="A30:G30"/>
    <mergeCell ref="A47:G47"/>
    <mergeCell ref="A52:G52"/>
  </mergeCells>
  <phoneticPr fontId="21" type="noConversion"/>
  <dataValidations count="3">
    <dataValidation type="list" allowBlank="1" showInputMessage="1" showErrorMessage="1" sqref="E32:E46 E55:E57 E19 E17 E15 E60:E74 E22:E23 E49 E25:E29" xr:uid="{F8EF8B54-D91A-472A-93D1-2A91B40F5C24}">
      <formula1>"Untrained, In Progress, Retrain, Trained,Proficient"</formula1>
    </dataValidation>
    <dataValidation type="list" allowBlank="1" showInputMessage="1" showErrorMessage="1" sqref="B3" xr:uid="{E903E233-E21B-454A-B756-5EFD0E07A328}">
      <formula1>"Brown Stripe,Brown Belt"</formula1>
    </dataValidation>
    <dataValidation type="list" allowBlank="1" showInputMessage="1" showErrorMessage="1" sqref="B6:B8" xr:uid="{E3A68A2B-AEDD-497D-9509-25F7151D1F56}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7A0E-232A-4157-9D57-F71D5D2C7F7F}">
  <dimension ref="A1:AD103"/>
  <sheetViews>
    <sheetView zoomScaleNormal="100" workbookViewId="0">
      <selection activeCell="B3" sqref="B3"/>
    </sheetView>
  </sheetViews>
  <sheetFormatPr defaultColWidth="8.85546875" defaultRowHeight="15" x14ac:dyDescent="0.2"/>
  <cols>
    <col min="1" max="1" width="29.42578125" style="7" bestFit="1" customWidth="1"/>
    <col min="2" max="2" width="23.42578125" style="7" bestFit="1" customWidth="1"/>
    <col min="3" max="3" width="19" style="7" bestFit="1" customWidth="1"/>
    <col min="4" max="4" width="20.42578125" style="7" bestFit="1" customWidth="1"/>
    <col min="5" max="5" width="9.85546875" style="7" bestFit="1" customWidth="1"/>
    <col min="6" max="6" width="22.140625" style="7" bestFit="1" customWidth="1"/>
    <col min="7" max="7" width="87.140625" style="7" customWidth="1"/>
    <col min="8" max="30" width="8.85546875" style="25"/>
    <col min="31" max="16384" width="8.85546875" style="7"/>
  </cols>
  <sheetData>
    <row r="1" spans="1:30" x14ac:dyDescent="0.2">
      <c r="A1" s="148" t="s">
        <v>69</v>
      </c>
      <c r="B1" s="149"/>
      <c r="C1" s="150" t="s">
        <v>87</v>
      </c>
      <c r="D1" s="151">
        <f ca="1">TODAY()</f>
        <v>45945</v>
      </c>
      <c r="E1" s="152"/>
      <c r="F1" s="152"/>
      <c r="G1" s="153"/>
    </row>
    <row r="2" spans="1:30" x14ac:dyDescent="0.2">
      <c r="A2" s="154" t="s">
        <v>78</v>
      </c>
      <c r="B2" s="38" t="s">
        <v>25</v>
      </c>
      <c r="C2" s="19" t="s">
        <v>5</v>
      </c>
      <c r="D2" s="21">
        <f>VLOOKUP(B3,Target,4,0)</f>
        <v>44477</v>
      </c>
      <c r="F2" s="23"/>
      <c r="G2" s="155"/>
    </row>
    <row r="3" spans="1:30" x14ac:dyDescent="0.2">
      <c r="A3" s="156" t="s">
        <v>70</v>
      </c>
      <c r="B3" s="38" t="s">
        <v>72</v>
      </c>
      <c r="C3" s="19" t="s">
        <v>12</v>
      </c>
      <c r="D3" s="22">
        <f ca="1">SUM(D2-(TODAY()))</f>
        <v>-1468</v>
      </c>
      <c r="E3" s="23"/>
      <c r="F3" s="23"/>
      <c r="G3" s="155"/>
    </row>
    <row r="4" spans="1:30" x14ac:dyDescent="0.2">
      <c r="A4" s="157"/>
      <c r="B4" s="25"/>
      <c r="C4" s="23"/>
      <c r="D4" s="23"/>
      <c r="E4" s="23"/>
      <c r="F4" s="23"/>
      <c r="G4" s="155"/>
      <c r="H4" s="23"/>
    </row>
    <row r="5" spans="1:30" s="25" customFormat="1" ht="15.75" x14ac:dyDescent="0.25">
      <c r="A5" s="158" t="s">
        <v>108</v>
      </c>
      <c r="B5" s="31" t="s">
        <v>595</v>
      </c>
      <c r="C5" s="91"/>
      <c r="D5" s="91"/>
      <c r="E5" s="91"/>
      <c r="F5" s="91"/>
      <c r="G5" s="159"/>
    </row>
    <row r="6" spans="1:30" s="25" customFormat="1" ht="15.75" x14ac:dyDescent="0.25">
      <c r="A6" s="160" t="s">
        <v>621</v>
      </c>
      <c r="B6" s="31"/>
      <c r="C6" s="91"/>
      <c r="D6" s="91"/>
      <c r="E6" s="91"/>
      <c r="F6" s="91"/>
      <c r="G6" s="159"/>
    </row>
    <row r="7" spans="1:30" s="25" customFormat="1" ht="15.75" x14ac:dyDescent="0.25">
      <c r="A7" s="161" t="s">
        <v>31</v>
      </c>
      <c r="B7" s="31"/>
      <c r="C7" s="91"/>
      <c r="D7" s="91"/>
      <c r="E7" s="91"/>
      <c r="F7" s="91"/>
      <c r="G7" s="159"/>
    </row>
    <row r="8" spans="1:30" s="25" customFormat="1" ht="15.75" x14ac:dyDescent="0.25">
      <c r="A8" s="160" t="s">
        <v>425</v>
      </c>
      <c r="B8" s="31"/>
      <c r="C8" s="91"/>
      <c r="D8" s="91"/>
      <c r="E8" s="91"/>
      <c r="F8" s="91"/>
      <c r="G8" s="159"/>
    </row>
    <row r="9" spans="1:30" s="9" customFormat="1" x14ac:dyDescent="0.2">
      <c r="A9" s="157"/>
      <c r="B9" s="25"/>
      <c r="C9" s="23"/>
      <c r="D9" s="23"/>
      <c r="E9" s="23"/>
      <c r="F9" s="23"/>
      <c r="G9" s="155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</row>
    <row r="10" spans="1:30" ht="15.75" x14ac:dyDescent="0.25">
      <c r="A10" s="291" t="s">
        <v>348</v>
      </c>
      <c r="B10" s="268"/>
      <c r="C10" s="268"/>
      <c r="D10" s="268"/>
      <c r="E10" s="268"/>
      <c r="F10" s="268"/>
      <c r="G10" s="292"/>
      <c r="H10" s="23"/>
    </row>
    <row r="11" spans="1:30" s="25" customFormat="1" ht="15.75" x14ac:dyDescent="0.25">
      <c r="A11" s="160"/>
      <c r="B11" s="26" t="s">
        <v>112</v>
      </c>
      <c r="C11" s="26" t="s">
        <v>11</v>
      </c>
      <c r="D11" s="26" t="s">
        <v>200</v>
      </c>
      <c r="E11" s="26" t="s">
        <v>6</v>
      </c>
      <c r="F11" s="26" t="s">
        <v>470</v>
      </c>
      <c r="G11" s="162" t="s">
        <v>585</v>
      </c>
    </row>
    <row r="12" spans="1:30" s="25" customFormat="1" ht="15.75" x14ac:dyDescent="0.25">
      <c r="A12" s="156" t="s">
        <v>352</v>
      </c>
      <c r="B12" s="101"/>
      <c r="C12" s="101"/>
      <c r="D12" s="21">
        <v>44832</v>
      </c>
      <c r="E12" s="12" t="s">
        <v>55</v>
      </c>
      <c r="F12" s="36" t="s">
        <v>353</v>
      </c>
      <c r="G12" s="163"/>
    </row>
    <row r="13" spans="1:30" s="25" customFormat="1" ht="15.75" x14ac:dyDescent="0.25">
      <c r="A13" s="161"/>
      <c r="B13" s="101"/>
      <c r="C13" s="101"/>
      <c r="D13" s="21">
        <v>44832</v>
      </c>
      <c r="E13" s="12" t="s">
        <v>55</v>
      </c>
      <c r="F13" s="36"/>
      <c r="G13" s="163"/>
    </row>
    <row r="14" spans="1:30" s="25" customFormat="1" ht="15.75" x14ac:dyDescent="0.25">
      <c r="A14" s="156"/>
      <c r="B14" s="101"/>
      <c r="C14" s="101"/>
      <c r="D14" s="21">
        <v>44832</v>
      </c>
      <c r="E14" s="12" t="s">
        <v>55</v>
      </c>
      <c r="F14" s="36"/>
      <c r="G14" s="163"/>
      <c r="H14" s="92"/>
    </row>
    <row r="15" spans="1:30" s="92" customFormat="1" ht="15.75" x14ac:dyDescent="0.25">
      <c r="A15" s="164"/>
      <c r="B15" s="21"/>
      <c r="C15" s="12"/>
      <c r="D15" s="21">
        <v>44832</v>
      </c>
      <c r="E15" s="12" t="s">
        <v>55</v>
      </c>
      <c r="F15" s="100"/>
      <c r="G15" s="165"/>
      <c r="H15" s="25"/>
    </row>
    <row r="16" spans="1:30" s="9" customFormat="1" x14ac:dyDescent="0.2">
      <c r="A16" s="157"/>
      <c r="B16" s="25"/>
      <c r="C16" s="23"/>
      <c r="D16" s="23"/>
      <c r="E16" s="23"/>
      <c r="F16" s="23"/>
      <c r="G16" s="155"/>
      <c r="H16" s="23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</row>
    <row r="17" spans="1:8" ht="15.75" x14ac:dyDescent="0.25">
      <c r="A17" s="268" t="s">
        <v>0</v>
      </c>
      <c r="B17" s="268"/>
      <c r="C17" s="268"/>
      <c r="D17" s="268"/>
      <c r="E17" s="268"/>
      <c r="F17" s="268"/>
      <c r="G17" s="268"/>
    </row>
    <row r="18" spans="1:8" s="25" customFormat="1" ht="15.75" x14ac:dyDescent="0.25">
      <c r="A18" s="160" t="s">
        <v>393</v>
      </c>
      <c r="B18" s="26" t="s">
        <v>112</v>
      </c>
      <c r="C18" s="26" t="s">
        <v>11</v>
      </c>
      <c r="D18" s="26" t="s">
        <v>200</v>
      </c>
      <c r="E18" s="26" t="s">
        <v>6</v>
      </c>
      <c r="F18" s="26" t="s">
        <v>470</v>
      </c>
      <c r="G18" s="166" t="s">
        <v>7</v>
      </c>
    </row>
    <row r="19" spans="1:8" s="25" customFormat="1" ht="15.75" x14ac:dyDescent="0.25">
      <c r="A19" s="167"/>
      <c r="B19" s="21"/>
      <c r="C19" s="12"/>
      <c r="D19" s="21">
        <v>44832</v>
      </c>
      <c r="E19" s="12"/>
      <c r="F19" s="35"/>
      <c r="G19" s="168"/>
      <c r="H19" s="92"/>
    </row>
    <row r="20" spans="1:8" s="92" customFormat="1" ht="15.75" x14ac:dyDescent="0.25">
      <c r="A20" s="169"/>
      <c r="B20" s="28"/>
      <c r="C20" s="8"/>
      <c r="D20" s="28"/>
      <c r="E20" s="8"/>
      <c r="G20" s="170"/>
      <c r="H20" s="25"/>
    </row>
    <row r="21" spans="1:8" s="25" customFormat="1" ht="15.75" x14ac:dyDescent="0.25">
      <c r="A21" s="160" t="s">
        <v>438</v>
      </c>
      <c r="B21" s="26" t="s">
        <v>112</v>
      </c>
      <c r="C21" s="26" t="s">
        <v>11</v>
      </c>
      <c r="D21" s="26" t="s">
        <v>200</v>
      </c>
      <c r="E21" s="26" t="s">
        <v>6</v>
      </c>
      <c r="F21" s="26" t="s">
        <v>470</v>
      </c>
      <c r="G21" s="166" t="s">
        <v>7</v>
      </c>
    </row>
    <row r="22" spans="1:8" s="25" customFormat="1" x14ac:dyDescent="0.2">
      <c r="A22" s="171" t="s">
        <v>525</v>
      </c>
      <c r="B22" s="21"/>
      <c r="C22" s="12"/>
      <c r="D22" s="21">
        <v>44832</v>
      </c>
      <c r="E22" s="12" t="s">
        <v>55</v>
      </c>
      <c r="F22" s="35"/>
      <c r="G22" s="168"/>
    </row>
    <row r="23" spans="1:8" s="25" customFormat="1" x14ac:dyDescent="0.2">
      <c r="A23" s="171" t="s">
        <v>425</v>
      </c>
      <c r="B23" s="21"/>
      <c r="C23" s="12"/>
      <c r="D23" s="21">
        <v>44832</v>
      </c>
      <c r="E23" s="12" t="s">
        <v>55</v>
      </c>
      <c r="F23" s="35"/>
      <c r="G23" s="168"/>
      <c r="H23" s="92"/>
    </row>
    <row r="24" spans="1:8" s="92" customFormat="1" ht="15.75" x14ac:dyDescent="0.25">
      <c r="A24" s="169"/>
      <c r="B24" s="28"/>
      <c r="C24" s="8"/>
      <c r="D24" s="28"/>
      <c r="E24" s="8"/>
      <c r="G24" s="170"/>
      <c r="H24" s="25"/>
    </row>
    <row r="25" spans="1:8" ht="15.75" x14ac:dyDescent="0.25">
      <c r="A25" s="160" t="s">
        <v>28</v>
      </c>
      <c r="B25" s="26" t="s">
        <v>112</v>
      </c>
      <c r="C25" s="26" t="s">
        <v>11</v>
      </c>
      <c r="D25" s="26" t="s">
        <v>200</v>
      </c>
      <c r="E25" s="26" t="s">
        <v>6</v>
      </c>
      <c r="F25" s="26" t="s">
        <v>470</v>
      </c>
      <c r="G25" s="172" t="s">
        <v>7</v>
      </c>
    </row>
    <row r="26" spans="1:8" x14ac:dyDescent="0.2">
      <c r="A26" s="171">
        <v>1</v>
      </c>
      <c r="B26" s="21">
        <f t="shared" ref="B26:B40" ca="1" si="0">TODAY()</f>
        <v>45945</v>
      </c>
      <c r="C26" s="12">
        <v>14</v>
      </c>
      <c r="D26" s="21">
        <v>44832</v>
      </c>
      <c r="E26" s="12" t="s">
        <v>55</v>
      </c>
      <c r="F26" s="35" t="s">
        <v>297</v>
      </c>
      <c r="G26" s="173"/>
    </row>
    <row r="27" spans="1:8" x14ac:dyDescent="0.2">
      <c r="A27" s="171">
        <v>2</v>
      </c>
      <c r="B27" s="21">
        <f t="shared" ca="1" si="0"/>
        <v>45945</v>
      </c>
      <c r="C27" s="12">
        <v>14</v>
      </c>
      <c r="D27" s="21">
        <v>44832</v>
      </c>
      <c r="E27" s="12" t="s">
        <v>55</v>
      </c>
      <c r="F27" s="35" t="s">
        <v>298</v>
      </c>
      <c r="G27" s="173"/>
    </row>
    <row r="28" spans="1:8" x14ac:dyDescent="0.2">
      <c r="A28" s="171">
        <v>3</v>
      </c>
      <c r="B28" s="21">
        <f t="shared" ca="1" si="0"/>
        <v>45945</v>
      </c>
      <c r="C28" s="12">
        <v>14</v>
      </c>
      <c r="D28" s="21">
        <v>44832</v>
      </c>
      <c r="E28" s="12" t="s">
        <v>55</v>
      </c>
      <c r="F28" s="35" t="s">
        <v>299</v>
      </c>
      <c r="G28" s="173"/>
    </row>
    <row r="29" spans="1:8" x14ac:dyDescent="0.2">
      <c r="A29" s="171">
        <v>4</v>
      </c>
      <c r="B29" s="21">
        <f t="shared" ca="1" si="0"/>
        <v>45945</v>
      </c>
      <c r="C29" s="12">
        <v>14</v>
      </c>
      <c r="D29" s="21">
        <v>44832</v>
      </c>
      <c r="E29" s="12" t="s">
        <v>55</v>
      </c>
      <c r="F29" s="35" t="s">
        <v>300</v>
      </c>
      <c r="G29" s="173"/>
    </row>
    <row r="30" spans="1:8" x14ac:dyDescent="0.2">
      <c r="A30" s="171">
        <v>5</v>
      </c>
      <c r="B30" s="21">
        <f t="shared" ca="1" si="0"/>
        <v>45945</v>
      </c>
      <c r="C30" s="12">
        <v>14</v>
      </c>
      <c r="D30" s="21">
        <v>44832</v>
      </c>
      <c r="E30" s="12" t="s">
        <v>55</v>
      </c>
      <c r="F30" s="35" t="s">
        <v>293</v>
      </c>
      <c r="G30" s="173"/>
    </row>
    <row r="31" spans="1:8" x14ac:dyDescent="0.2">
      <c r="A31" s="171">
        <v>6</v>
      </c>
      <c r="B31" s="21">
        <f t="shared" ca="1" si="0"/>
        <v>45945</v>
      </c>
      <c r="C31" s="12">
        <v>14</v>
      </c>
      <c r="D31" s="21">
        <v>44832</v>
      </c>
      <c r="E31" s="12" t="s">
        <v>55</v>
      </c>
      <c r="F31" s="35" t="s">
        <v>285</v>
      </c>
      <c r="G31" s="173"/>
    </row>
    <row r="32" spans="1:8" x14ac:dyDescent="0.2">
      <c r="A32" s="171">
        <v>7</v>
      </c>
      <c r="B32" s="21">
        <f t="shared" ca="1" si="0"/>
        <v>45945</v>
      </c>
      <c r="C32" s="12">
        <v>14</v>
      </c>
      <c r="D32" s="21">
        <v>44832</v>
      </c>
      <c r="E32" s="12" t="s">
        <v>55</v>
      </c>
      <c r="F32" s="35" t="s">
        <v>301</v>
      </c>
      <c r="G32" s="173"/>
    </row>
    <row r="33" spans="1:8" x14ac:dyDescent="0.2">
      <c r="A33" s="171">
        <v>8</v>
      </c>
      <c r="B33" s="21">
        <f t="shared" ca="1" si="0"/>
        <v>45945</v>
      </c>
      <c r="C33" s="12">
        <v>14</v>
      </c>
      <c r="D33" s="21">
        <v>44832</v>
      </c>
      <c r="E33" s="12" t="s">
        <v>55</v>
      </c>
      <c r="F33" s="35" t="s">
        <v>291</v>
      </c>
      <c r="G33" s="173"/>
    </row>
    <row r="34" spans="1:8" x14ac:dyDescent="0.2">
      <c r="A34" s="171">
        <v>9</v>
      </c>
      <c r="B34" s="21">
        <f t="shared" ca="1" si="0"/>
        <v>45945</v>
      </c>
      <c r="C34" s="12">
        <v>14</v>
      </c>
      <c r="D34" s="21">
        <v>44832</v>
      </c>
      <c r="E34" s="12" t="s">
        <v>55</v>
      </c>
      <c r="F34" s="35" t="s">
        <v>292</v>
      </c>
      <c r="G34" s="173"/>
    </row>
    <row r="35" spans="1:8" x14ac:dyDescent="0.2">
      <c r="A35" s="171">
        <v>10</v>
      </c>
      <c r="B35" s="21">
        <f t="shared" ca="1" si="0"/>
        <v>45945</v>
      </c>
      <c r="C35" s="12">
        <v>14</v>
      </c>
      <c r="D35" s="21">
        <v>44832</v>
      </c>
      <c r="E35" s="12" t="s">
        <v>55</v>
      </c>
      <c r="F35" s="35" t="s">
        <v>286</v>
      </c>
      <c r="G35" s="173"/>
    </row>
    <row r="36" spans="1:8" x14ac:dyDescent="0.2">
      <c r="A36" s="171">
        <v>11</v>
      </c>
      <c r="B36" s="21">
        <f t="shared" ca="1" si="0"/>
        <v>45945</v>
      </c>
      <c r="C36" s="12">
        <v>14</v>
      </c>
      <c r="D36" s="21">
        <v>44832</v>
      </c>
      <c r="E36" s="12" t="s">
        <v>55</v>
      </c>
      <c r="F36" s="35" t="s">
        <v>302</v>
      </c>
      <c r="G36" s="173"/>
    </row>
    <row r="37" spans="1:8" x14ac:dyDescent="0.2">
      <c r="A37" s="171">
        <v>12</v>
      </c>
      <c r="B37" s="21">
        <f t="shared" ca="1" si="0"/>
        <v>45945</v>
      </c>
      <c r="C37" s="12">
        <v>14</v>
      </c>
      <c r="D37" s="21">
        <v>44832</v>
      </c>
      <c r="E37" s="12" t="s">
        <v>55</v>
      </c>
      <c r="F37" s="35" t="s">
        <v>294</v>
      </c>
      <c r="G37" s="173"/>
    </row>
    <row r="38" spans="1:8" x14ac:dyDescent="0.2">
      <c r="A38" s="171">
        <v>13</v>
      </c>
      <c r="B38" s="21">
        <f t="shared" ca="1" si="0"/>
        <v>45945</v>
      </c>
      <c r="C38" s="12">
        <v>14</v>
      </c>
      <c r="D38" s="21">
        <v>44832</v>
      </c>
      <c r="E38" s="12" t="s">
        <v>55</v>
      </c>
      <c r="F38" s="35" t="s">
        <v>303</v>
      </c>
      <c r="G38" s="173"/>
    </row>
    <row r="39" spans="1:8" x14ac:dyDescent="0.2">
      <c r="A39" s="171">
        <v>14</v>
      </c>
      <c r="B39" s="21">
        <f t="shared" ca="1" si="0"/>
        <v>45945</v>
      </c>
      <c r="C39" s="12">
        <v>14</v>
      </c>
      <c r="D39" s="21">
        <v>44832</v>
      </c>
      <c r="E39" s="12" t="s">
        <v>55</v>
      </c>
      <c r="F39" s="35" t="s">
        <v>304</v>
      </c>
      <c r="G39" s="173"/>
    </row>
    <row r="40" spans="1:8" x14ac:dyDescent="0.2">
      <c r="A40" s="171">
        <v>15</v>
      </c>
      <c r="B40" s="21">
        <f t="shared" ca="1" si="0"/>
        <v>45945</v>
      </c>
      <c r="C40" s="12">
        <v>14</v>
      </c>
      <c r="D40" s="21">
        <v>44832</v>
      </c>
      <c r="E40" s="12" t="s">
        <v>55</v>
      </c>
      <c r="F40" s="35" t="s">
        <v>305</v>
      </c>
      <c r="G40" s="173"/>
      <c r="H40" s="92"/>
    </row>
    <row r="41" spans="1:8" s="92" customFormat="1" ht="15.75" x14ac:dyDescent="0.25">
      <c r="A41" s="169"/>
      <c r="B41" s="28"/>
      <c r="C41" s="8"/>
      <c r="D41" s="28"/>
      <c r="E41" s="8"/>
      <c r="G41" s="170"/>
      <c r="H41" s="25"/>
    </row>
    <row r="42" spans="1:8" ht="15.75" x14ac:dyDescent="0.25">
      <c r="A42" s="160" t="s">
        <v>30</v>
      </c>
      <c r="B42" s="26" t="s">
        <v>112</v>
      </c>
      <c r="C42" s="26" t="s">
        <v>11</v>
      </c>
      <c r="D42" s="26" t="s">
        <v>200</v>
      </c>
      <c r="E42" s="26" t="s">
        <v>6</v>
      </c>
      <c r="F42" s="26" t="s">
        <v>470</v>
      </c>
      <c r="G42" s="172" t="s">
        <v>7</v>
      </c>
    </row>
    <row r="43" spans="1:8" x14ac:dyDescent="0.2">
      <c r="A43" s="171">
        <v>1</v>
      </c>
      <c r="B43" s="21">
        <f t="shared" ref="B43:B57" ca="1" si="1">TODAY()</f>
        <v>45945</v>
      </c>
      <c r="C43" s="12">
        <v>14</v>
      </c>
      <c r="D43" s="21">
        <f t="shared" ref="D43:D57" ca="1" si="2">SUM(B43+C43)</f>
        <v>45959</v>
      </c>
      <c r="E43" s="12" t="s">
        <v>55</v>
      </c>
      <c r="F43" s="12" t="s">
        <v>306</v>
      </c>
      <c r="G43" s="173"/>
    </row>
    <row r="44" spans="1:8" x14ac:dyDescent="0.2">
      <c r="A44" s="171">
        <v>2</v>
      </c>
      <c r="B44" s="21">
        <f t="shared" ca="1" si="1"/>
        <v>45945</v>
      </c>
      <c r="C44" s="12">
        <v>14</v>
      </c>
      <c r="D44" s="21">
        <f t="shared" ca="1" si="2"/>
        <v>45959</v>
      </c>
      <c r="E44" s="12" t="s">
        <v>55</v>
      </c>
      <c r="F44" s="12" t="s">
        <v>307</v>
      </c>
      <c r="G44" s="173"/>
    </row>
    <row r="45" spans="1:8" x14ac:dyDescent="0.2">
      <c r="A45" s="171">
        <v>3</v>
      </c>
      <c r="B45" s="21">
        <f t="shared" ca="1" si="1"/>
        <v>45945</v>
      </c>
      <c r="C45" s="12">
        <v>14</v>
      </c>
      <c r="D45" s="21">
        <f t="shared" ca="1" si="2"/>
        <v>45959</v>
      </c>
      <c r="E45" s="12" t="s">
        <v>55</v>
      </c>
      <c r="F45" s="12" t="s">
        <v>308</v>
      </c>
      <c r="G45" s="173"/>
    </row>
    <row r="46" spans="1:8" x14ac:dyDescent="0.2">
      <c r="A46" s="171">
        <v>4</v>
      </c>
      <c r="B46" s="21">
        <f t="shared" ca="1" si="1"/>
        <v>45945</v>
      </c>
      <c r="C46" s="12">
        <v>14</v>
      </c>
      <c r="D46" s="21">
        <f t="shared" ca="1" si="2"/>
        <v>45959</v>
      </c>
      <c r="E46" s="12" t="s">
        <v>55</v>
      </c>
      <c r="F46" s="12" t="s">
        <v>309</v>
      </c>
      <c r="G46" s="173"/>
    </row>
    <row r="47" spans="1:8" x14ac:dyDescent="0.2">
      <c r="A47" s="171">
        <v>5</v>
      </c>
      <c r="B47" s="21">
        <f t="shared" ca="1" si="1"/>
        <v>45945</v>
      </c>
      <c r="C47" s="12">
        <v>14</v>
      </c>
      <c r="D47" s="21">
        <f t="shared" ca="1" si="2"/>
        <v>45959</v>
      </c>
      <c r="E47" s="12" t="s">
        <v>55</v>
      </c>
      <c r="F47" s="12" t="s">
        <v>310</v>
      </c>
      <c r="G47" s="173"/>
    </row>
    <row r="48" spans="1:8" x14ac:dyDescent="0.2">
      <c r="A48" s="171">
        <v>6</v>
      </c>
      <c r="B48" s="21">
        <f t="shared" ca="1" si="1"/>
        <v>45945</v>
      </c>
      <c r="C48" s="12">
        <v>14</v>
      </c>
      <c r="D48" s="21">
        <f t="shared" ca="1" si="2"/>
        <v>45959</v>
      </c>
      <c r="E48" s="12" t="s">
        <v>55</v>
      </c>
      <c r="F48" s="12" t="s">
        <v>311</v>
      </c>
      <c r="G48" s="173"/>
    </row>
    <row r="49" spans="1:30" x14ac:dyDescent="0.2">
      <c r="A49" s="171">
        <v>7</v>
      </c>
      <c r="B49" s="21">
        <f t="shared" ca="1" si="1"/>
        <v>45945</v>
      </c>
      <c r="C49" s="12">
        <v>14</v>
      </c>
      <c r="D49" s="21">
        <f t="shared" ca="1" si="2"/>
        <v>45959</v>
      </c>
      <c r="E49" s="12" t="s">
        <v>55</v>
      </c>
      <c r="F49" s="12" t="s">
        <v>312</v>
      </c>
      <c r="G49" s="173"/>
    </row>
    <row r="50" spans="1:30" x14ac:dyDescent="0.2">
      <c r="A50" s="171">
        <v>8</v>
      </c>
      <c r="B50" s="21">
        <f t="shared" ca="1" si="1"/>
        <v>45945</v>
      </c>
      <c r="C50" s="12">
        <v>14</v>
      </c>
      <c r="D50" s="21">
        <f t="shared" ca="1" si="2"/>
        <v>45959</v>
      </c>
      <c r="E50" s="12" t="s">
        <v>55</v>
      </c>
      <c r="F50" s="12" t="s">
        <v>313</v>
      </c>
      <c r="G50" s="173"/>
    </row>
    <row r="51" spans="1:30" x14ac:dyDescent="0.2">
      <c r="A51" s="171">
        <v>9</v>
      </c>
      <c r="B51" s="21">
        <f t="shared" ca="1" si="1"/>
        <v>45945</v>
      </c>
      <c r="C51" s="12">
        <v>14</v>
      </c>
      <c r="D51" s="21">
        <f t="shared" ca="1" si="2"/>
        <v>45959</v>
      </c>
      <c r="E51" s="12" t="s">
        <v>55</v>
      </c>
      <c r="F51" s="12" t="s">
        <v>318</v>
      </c>
      <c r="G51" s="173"/>
    </row>
    <row r="52" spans="1:30" x14ac:dyDescent="0.2">
      <c r="A52" s="171">
        <v>10</v>
      </c>
      <c r="B52" s="21">
        <f t="shared" ca="1" si="1"/>
        <v>45945</v>
      </c>
      <c r="C52" s="12">
        <v>14</v>
      </c>
      <c r="D52" s="21">
        <f t="shared" ca="1" si="2"/>
        <v>45959</v>
      </c>
      <c r="E52" s="12" t="s">
        <v>55</v>
      </c>
      <c r="F52" s="12" t="s">
        <v>314</v>
      </c>
      <c r="G52" s="173"/>
    </row>
    <row r="53" spans="1:30" x14ac:dyDescent="0.2">
      <c r="A53" s="171">
        <v>11</v>
      </c>
      <c r="B53" s="21">
        <f t="shared" ca="1" si="1"/>
        <v>45945</v>
      </c>
      <c r="C53" s="12">
        <v>14</v>
      </c>
      <c r="D53" s="21">
        <f t="shared" ca="1" si="2"/>
        <v>45959</v>
      </c>
      <c r="E53" s="12" t="s">
        <v>55</v>
      </c>
      <c r="F53" s="12" t="s">
        <v>315</v>
      </c>
      <c r="G53" s="173"/>
    </row>
    <row r="54" spans="1:30" x14ac:dyDescent="0.2">
      <c r="A54" s="171">
        <v>12</v>
      </c>
      <c r="B54" s="21">
        <f t="shared" ca="1" si="1"/>
        <v>45945</v>
      </c>
      <c r="C54" s="12">
        <v>14</v>
      </c>
      <c r="D54" s="21">
        <f t="shared" ca="1" si="2"/>
        <v>45959</v>
      </c>
      <c r="E54" s="12" t="s">
        <v>55</v>
      </c>
      <c r="F54" s="12" t="s">
        <v>316</v>
      </c>
      <c r="G54" s="173"/>
    </row>
    <row r="55" spans="1:30" x14ac:dyDescent="0.2">
      <c r="A55" s="171">
        <v>13</v>
      </c>
      <c r="B55" s="21">
        <f t="shared" ca="1" si="1"/>
        <v>45945</v>
      </c>
      <c r="C55" s="12">
        <v>14</v>
      </c>
      <c r="D55" s="21">
        <f t="shared" ca="1" si="2"/>
        <v>45959</v>
      </c>
      <c r="E55" s="12" t="s">
        <v>55</v>
      </c>
      <c r="F55" s="12" t="s">
        <v>317</v>
      </c>
      <c r="G55" s="173"/>
    </row>
    <row r="56" spans="1:30" x14ac:dyDescent="0.2">
      <c r="A56" s="171">
        <v>14</v>
      </c>
      <c r="B56" s="21">
        <f t="shared" ca="1" si="1"/>
        <v>45945</v>
      </c>
      <c r="C56" s="12">
        <v>14</v>
      </c>
      <c r="D56" s="21">
        <f t="shared" ca="1" si="2"/>
        <v>45959</v>
      </c>
      <c r="E56" s="12" t="s">
        <v>55</v>
      </c>
      <c r="F56" s="12" t="s">
        <v>319</v>
      </c>
      <c r="G56" s="173"/>
    </row>
    <row r="57" spans="1:30" x14ac:dyDescent="0.2">
      <c r="A57" s="171">
        <v>15</v>
      </c>
      <c r="B57" s="21">
        <f t="shared" ca="1" si="1"/>
        <v>45945</v>
      </c>
      <c r="C57" s="12">
        <v>14</v>
      </c>
      <c r="D57" s="21">
        <f t="shared" ca="1" si="2"/>
        <v>45959</v>
      </c>
      <c r="E57" s="12" t="s">
        <v>55</v>
      </c>
      <c r="F57" s="12" t="s">
        <v>320</v>
      </c>
      <c r="G57" s="173"/>
    </row>
    <row r="58" spans="1:30" x14ac:dyDescent="0.2">
      <c r="A58" s="174"/>
      <c r="B58" s="25"/>
      <c r="C58" s="25"/>
      <c r="D58" s="23"/>
      <c r="E58" s="23"/>
      <c r="F58" s="23"/>
      <c r="G58" s="155"/>
    </row>
    <row r="59" spans="1:30" ht="15.75" x14ac:dyDescent="0.25">
      <c r="A59" s="160" t="s">
        <v>571</v>
      </c>
      <c r="B59" s="26" t="s">
        <v>112</v>
      </c>
      <c r="C59" s="26" t="s">
        <v>11</v>
      </c>
      <c r="D59" s="26" t="s">
        <v>200</v>
      </c>
      <c r="E59" s="26" t="s">
        <v>6</v>
      </c>
      <c r="F59" s="26" t="s">
        <v>470</v>
      </c>
      <c r="G59" s="166" t="s">
        <v>7</v>
      </c>
    </row>
    <row r="60" spans="1:30" x14ac:dyDescent="0.2">
      <c r="A60" s="171" t="s">
        <v>575</v>
      </c>
      <c r="B60" s="12"/>
      <c r="C60" s="12"/>
      <c r="D60" s="12"/>
      <c r="E60" s="12"/>
      <c r="F60" s="12"/>
      <c r="G60" s="173"/>
    </row>
    <row r="61" spans="1:30" x14ac:dyDescent="0.2">
      <c r="A61" s="171" t="s">
        <v>576</v>
      </c>
      <c r="B61" s="12"/>
      <c r="C61" s="12"/>
      <c r="D61" s="12"/>
      <c r="E61" s="12"/>
      <c r="F61" s="12"/>
      <c r="G61" s="173"/>
      <c r="H61" s="132"/>
    </row>
    <row r="62" spans="1:30" s="9" customFormat="1" x14ac:dyDescent="0.2">
      <c r="A62" s="174"/>
      <c r="B62" s="25"/>
      <c r="C62" s="25"/>
      <c r="D62" s="23"/>
      <c r="E62" s="23"/>
      <c r="F62" s="23"/>
      <c r="G62" s="155"/>
      <c r="H62" s="25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</row>
    <row r="63" spans="1:30" x14ac:dyDescent="0.2">
      <c r="A63" s="175" t="s">
        <v>1</v>
      </c>
      <c r="B63" s="25"/>
      <c r="C63" s="25"/>
      <c r="D63" s="23"/>
      <c r="E63" s="23"/>
      <c r="F63" s="23"/>
      <c r="G63" s="155"/>
    </row>
    <row r="64" spans="1:30" ht="15.75" x14ac:dyDescent="0.25">
      <c r="A64" s="160" t="s">
        <v>31</v>
      </c>
      <c r="B64" s="26" t="s">
        <v>112</v>
      </c>
      <c r="C64" s="26" t="s">
        <v>11</v>
      </c>
      <c r="D64" s="26" t="s">
        <v>200</v>
      </c>
      <c r="E64" s="26" t="s">
        <v>6</v>
      </c>
      <c r="F64" s="247" t="s">
        <v>7</v>
      </c>
      <c r="G64" s="293"/>
    </row>
    <row r="65" spans="1:7" x14ac:dyDescent="0.2">
      <c r="A65" s="171">
        <v>1</v>
      </c>
      <c r="B65" s="21">
        <f ca="1">TODAY()</f>
        <v>45945</v>
      </c>
      <c r="C65" s="12">
        <v>14</v>
      </c>
      <c r="D65" s="21">
        <f ca="1">SUM(B65+C65)</f>
        <v>45959</v>
      </c>
      <c r="E65" s="12" t="s">
        <v>55</v>
      </c>
      <c r="F65" s="12"/>
      <c r="G65" s="173"/>
    </row>
    <row r="66" spans="1:7" x14ac:dyDescent="0.2">
      <c r="A66" s="171">
        <v>2</v>
      </c>
      <c r="B66" s="21">
        <f ca="1">TODAY()</f>
        <v>45945</v>
      </c>
      <c r="C66" s="12">
        <v>14</v>
      </c>
      <c r="D66" s="21">
        <f ca="1">SUM(B66+C66)</f>
        <v>45959</v>
      </c>
      <c r="E66" s="12" t="s">
        <v>55</v>
      </c>
      <c r="F66" s="12"/>
      <c r="G66" s="173"/>
    </row>
    <row r="67" spans="1:7" x14ac:dyDescent="0.2">
      <c r="A67" s="171">
        <v>3</v>
      </c>
      <c r="B67" s="21">
        <f ca="1">TODAY()</f>
        <v>45945</v>
      </c>
      <c r="C67" s="12">
        <v>14</v>
      </c>
      <c r="D67" s="21">
        <f ca="1">SUM(B67+C67)</f>
        <v>45959</v>
      </c>
      <c r="E67" s="12" t="s">
        <v>55</v>
      </c>
      <c r="F67" s="12"/>
      <c r="G67" s="173"/>
    </row>
    <row r="68" spans="1:7" s="25" customFormat="1" x14ac:dyDescent="0.2">
      <c r="A68" s="157"/>
      <c r="D68" s="23"/>
      <c r="E68" s="23"/>
      <c r="F68" s="23"/>
      <c r="G68" s="155"/>
    </row>
    <row r="69" spans="1:7" s="25" customFormat="1" x14ac:dyDescent="0.2">
      <c r="C69" s="23"/>
      <c r="D69" s="23"/>
      <c r="E69" s="23"/>
      <c r="F69" s="23"/>
      <c r="G69" s="23"/>
    </row>
    <row r="70" spans="1:7" s="25" customFormat="1" x14ac:dyDescent="0.2">
      <c r="C70" s="23"/>
      <c r="D70" s="23"/>
      <c r="E70" s="23"/>
      <c r="F70" s="23"/>
      <c r="G70" s="23"/>
    </row>
    <row r="71" spans="1:7" s="25" customFormat="1" x14ac:dyDescent="0.2"/>
    <row r="72" spans="1:7" s="25" customFormat="1" x14ac:dyDescent="0.2"/>
    <row r="73" spans="1:7" s="25" customFormat="1" x14ac:dyDescent="0.2"/>
    <row r="74" spans="1:7" s="25" customFormat="1" x14ac:dyDescent="0.2"/>
    <row r="75" spans="1:7" s="25" customFormat="1" x14ac:dyDescent="0.2"/>
    <row r="76" spans="1:7" s="25" customFormat="1" x14ac:dyDescent="0.2"/>
    <row r="77" spans="1:7" s="25" customFormat="1" x14ac:dyDescent="0.2"/>
    <row r="78" spans="1:7" s="25" customFormat="1" x14ac:dyDescent="0.2"/>
    <row r="79" spans="1:7" s="25" customFormat="1" x14ac:dyDescent="0.2"/>
    <row r="80" spans="1:7" s="25" customFormat="1" x14ac:dyDescent="0.2"/>
    <row r="81" s="25" customFormat="1" x14ac:dyDescent="0.2"/>
    <row r="82" s="25" customFormat="1" x14ac:dyDescent="0.2"/>
    <row r="83" s="25" customFormat="1" x14ac:dyDescent="0.2"/>
    <row r="84" s="25" customFormat="1" x14ac:dyDescent="0.2"/>
    <row r="85" s="25" customFormat="1" x14ac:dyDescent="0.2"/>
    <row r="86" s="25" customFormat="1" x14ac:dyDescent="0.2"/>
    <row r="87" s="25" customFormat="1" x14ac:dyDescent="0.2"/>
    <row r="88" s="25" customFormat="1" x14ac:dyDescent="0.2"/>
    <row r="89" s="25" customFormat="1" x14ac:dyDescent="0.2"/>
    <row r="90" s="25" customFormat="1" x14ac:dyDescent="0.2"/>
    <row r="91" s="25" customFormat="1" x14ac:dyDescent="0.2"/>
    <row r="92" s="25" customFormat="1" x14ac:dyDescent="0.2"/>
    <row r="93" s="25" customFormat="1" x14ac:dyDescent="0.2"/>
    <row r="94" s="25" customFormat="1" x14ac:dyDescent="0.2"/>
    <row r="95" s="25" customFormat="1" x14ac:dyDescent="0.2"/>
    <row r="96" s="25" customFormat="1" x14ac:dyDescent="0.2"/>
    <row r="97" s="25" customFormat="1" x14ac:dyDescent="0.2"/>
    <row r="98" s="25" customFormat="1" x14ac:dyDescent="0.2"/>
    <row r="99" s="25" customFormat="1" x14ac:dyDescent="0.2"/>
    <row r="100" s="25" customFormat="1" x14ac:dyDescent="0.2"/>
    <row r="101" s="25" customFormat="1" x14ac:dyDescent="0.2"/>
    <row r="102" s="25" customFormat="1" x14ac:dyDescent="0.2"/>
    <row r="103" s="25" customFormat="1" x14ac:dyDescent="0.2"/>
  </sheetData>
  <mergeCells count="3">
    <mergeCell ref="A10:G10"/>
    <mergeCell ref="F64:G64"/>
    <mergeCell ref="A17:G17"/>
  </mergeCells>
  <dataValidations count="2">
    <dataValidation type="list" allowBlank="1" showInputMessage="1" showErrorMessage="1" sqref="E65:E67 E12:E15 E19:E20 E26:E58 E22:E24 E17" xr:uid="{3F56D47B-8E78-47BC-8B60-C05F108C2209}">
      <formula1>"Untrained, In Progress, Retrain, Trained,Proficient"</formula1>
    </dataValidation>
    <dataValidation type="list" allowBlank="1" showInputMessage="1" showErrorMessage="1" sqref="B6:B8" xr:uid="{EC87180D-C10A-4B2B-933E-BD997DACED52}">
      <formula1>"Yes,No"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97B5-65B3-4CE1-82E5-10A57DCBBF06}">
  <dimension ref="A1:AX56"/>
  <sheetViews>
    <sheetView zoomScaleNormal="100" workbookViewId="0">
      <selection activeCell="B5" sqref="B5"/>
    </sheetView>
  </sheetViews>
  <sheetFormatPr defaultColWidth="8.85546875" defaultRowHeight="15" x14ac:dyDescent="0.2"/>
  <cols>
    <col min="1" max="1" width="29.42578125" style="7" bestFit="1" customWidth="1"/>
    <col min="2" max="2" width="23.42578125" style="7" bestFit="1" customWidth="1"/>
    <col min="3" max="3" width="19" style="7" bestFit="1" customWidth="1"/>
    <col min="4" max="4" width="20.42578125" style="7" bestFit="1" customWidth="1"/>
    <col min="5" max="5" width="9.85546875" style="7" bestFit="1" customWidth="1"/>
    <col min="6" max="6" width="22.140625" style="7" bestFit="1" customWidth="1"/>
    <col min="7" max="7" width="87.140625" style="7" customWidth="1"/>
    <col min="8" max="50" width="8.85546875" style="25"/>
    <col min="51" max="16384" width="8.85546875" style="7"/>
  </cols>
  <sheetData>
    <row r="1" spans="1:50" x14ac:dyDescent="0.2">
      <c r="A1" s="148" t="s">
        <v>69</v>
      </c>
      <c r="B1" s="149"/>
      <c r="C1" s="150" t="s">
        <v>87</v>
      </c>
      <c r="D1" s="151">
        <f ca="1">TODAY()</f>
        <v>45945</v>
      </c>
      <c r="E1" s="152"/>
      <c r="F1" s="152"/>
      <c r="G1" s="153"/>
    </row>
    <row r="2" spans="1:50" x14ac:dyDescent="0.2">
      <c r="A2" s="154" t="s">
        <v>78</v>
      </c>
      <c r="B2" s="38" t="s">
        <v>72</v>
      </c>
      <c r="C2" s="19" t="s">
        <v>5</v>
      </c>
      <c r="D2" s="21">
        <f>VLOOKUP(B3,Target,4,0)</f>
        <v>44567</v>
      </c>
      <c r="E2" s="23"/>
      <c r="G2" s="155"/>
    </row>
    <row r="3" spans="1:50" x14ac:dyDescent="0.2">
      <c r="A3" s="156" t="s">
        <v>70</v>
      </c>
      <c r="B3" s="38" t="s">
        <v>83</v>
      </c>
      <c r="C3" s="19" t="s">
        <v>12</v>
      </c>
      <c r="D3" s="22">
        <f ca="1">SUM(D2-(TODAY()))</f>
        <v>-1378</v>
      </c>
      <c r="E3" s="23"/>
      <c r="F3" s="23"/>
      <c r="G3" s="155"/>
    </row>
    <row r="4" spans="1:50" x14ac:dyDescent="0.2">
      <c r="A4" s="157"/>
      <c r="B4" s="25"/>
      <c r="C4" s="23"/>
      <c r="D4" s="23"/>
      <c r="E4" s="23"/>
      <c r="F4" s="23"/>
      <c r="G4" s="155"/>
    </row>
    <row r="5" spans="1:50" s="25" customFormat="1" ht="15.75" x14ac:dyDescent="0.25">
      <c r="A5" s="158" t="s">
        <v>107</v>
      </c>
      <c r="B5" s="31" t="s">
        <v>595</v>
      </c>
      <c r="C5" s="91"/>
      <c r="D5" s="91"/>
      <c r="E5" s="91"/>
      <c r="F5" s="91"/>
      <c r="G5" s="159"/>
    </row>
    <row r="6" spans="1:50" s="25" customFormat="1" ht="15.75" x14ac:dyDescent="0.25">
      <c r="A6" s="160" t="s">
        <v>621</v>
      </c>
      <c r="B6" s="31"/>
      <c r="C6" s="91"/>
      <c r="D6" s="91"/>
      <c r="E6" s="91"/>
      <c r="F6" s="91"/>
      <c r="G6" s="159"/>
    </row>
    <row r="7" spans="1:50" s="25" customFormat="1" ht="15.75" x14ac:dyDescent="0.25">
      <c r="A7" s="161" t="s">
        <v>31</v>
      </c>
      <c r="B7" s="31"/>
      <c r="C7" s="91"/>
      <c r="D7" s="91"/>
      <c r="E7" s="91"/>
      <c r="F7" s="91"/>
      <c r="G7" s="159"/>
    </row>
    <row r="8" spans="1:50" s="9" customFormat="1" x14ac:dyDescent="0.2">
      <c r="A8" s="157"/>
      <c r="B8" s="25"/>
      <c r="C8" s="23"/>
      <c r="D8" s="23"/>
      <c r="E8" s="23"/>
      <c r="F8" s="23"/>
      <c r="G8" s="155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</row>
    <row r="9" spans="1:50" ht="15.75" x14ac:dyDescent="0.25">
      <c r="A9" s="291" t="s">
        <v>348</v>
      </c>
      <c r="B9" s="268"/>
      <c r="C9" s="268"/>
      <c r="D9" s="268"/>
      <c r="E9" s="268"/>
      <c r="F9" s="268"/>
      <c r="G9" s="292"/>
    </row>
    <row r="10" spans="1:50" s="25" customFormat="1" ht="15.75" x14ac:dyDescent="0.25">
      <c r="A10" s="156"/>
      <c r="B10" s="26" t="s">
        <v>112</v>
      </c>
      <c r="C10" s="26" t="s">
        <v>11</v>
      </c>
      <c r="D10" s="26" t="s">
        <v>200</v>
      </c>
      <c r="E10" s="26" t="s">
        <v>6</v>
      </c>
      <c r="F10" s="26" t="s">
        <v>470</v>
      </c>
      <c r="G10" s="166" t="s">
        <v>585</v>
      </c>
    </row>
    <row r="11" spans="1:50" s="25" customFormat="1" ht="15.75" x14ac:dyDescent="0.25">
      <c r="A11" s="156" t="s">
        <v>352</v>
      </c>
      <c r="B11" s="101"/>
      <c r="C11" s="101"/>
      <c r="D11" s="21">
        <v>44832</v>
      </c>
      <c r="E11" s="12" t="s">
        <v>55</v>
      </c>
      <c r="F11" s="36" t="s">
        <v>353</v>
      </c>
      <c r="G11" s="163"/>
    </row>
    <row r="12" spans="1:50" s="25" customFormat="1" ht="15.75" x14ac:dyDescent="0.25">
      <c r="A12" s="156"/>
      <c r="B12" s="101"/>
      <c r="C12" s="101"/>
      <c r="D12" s="21">
        <v>44832</v>
      </c>
      <c r="E12" s="12" t="s">
        <v>55</v>
      </c>
      <c r="F12" s="36"/>
      <c r="G12" s="163"/>
    </row>
    <row r="13" spans="1:50" s="25" customFormat="1" ht="15.75" x14ac:dyDescent="0.25">
      <c r="A13" s="156"/>
      <c r="B13" s="101"/>
      <c r="C13" s="101"/>
      <c r="D13" s="21">
        <v>44832</v>
      </c>
      <c r="E13" s="12" t="s">
        <v>55</v>
      </c>
      <c r="F13" s="36"/>
      <c r="G13" s="163"/>
    </row>
    <row r="14" spans="1:50" s="92" customFormat="1" ht="15.75" x14ac:dyDescent="0.25">
      <c r="A14" s="164"/>
      <c r="B14" s="21"/>
      <c r="C14" s="12"/>
      <c r="D14" s="21">
        <v>44832</v>
      </c>
      <c r="E14" s="12" t="s">
        <v>55</v>
      </c>
      <c r="F14" s="100"/>
      <c r="G14" s="165"/>
    </row>
    <row r="15" spans="1:50" s="9" customFormat="1" x14ac:dyDescent="0.2">
      <c r="A15" s="157"/>
      <c r="B15" s="25"/>
      <c r="C15" s="23"/>
      <c r="D15" s="23"/>
      <c r="E15" s="23"/>
      <c r="F15" s="23"/>
      <c r="G15" s="155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</row>
    <row r="16" spans="1:50" ht="15.75" x14ac:dyDescent="0.25">
      <c r="A16" s="291" t="s">
        <v>0</v>
      </c>
      <c r="B16" s="268"/>
      <c r="C16" s="268"/>
      <c r="D16" s="268"/>
      <c r="E16" s="268"/>
      <c r="F16" s="268"/>
      <c r="G16" s="292"/>
    </row>
    <row r="17" spans="1:7" s="25" customFormat="1" ht="15.75" x14ac:dyDescent="0.25">
      <c r="A17" s="160" t="s">
        <v>393</v>
      </c>
      <c r="B17" s="26" t="s">
        <v>112</v>
      </c>
      <c r="C17" s="26" t="s">
        <v>11</v>
      </c>
      <c r="D17" s="26" t="s">
        <v>200</v>
      </c>
      <c r="E17" s="26" t="s">
        <v>6</v>
      </c>
      <c r="F17" s="26" t="s">
        <v>470</v>
      </c>
      <c r="G17" s="166" t="s">
        <v>7</v>
      </c>
    </row>
    <row r="18" spans="1:7" s="25" customFormat="1" x14ac:dyDescent="0.2">
      <c r="A18" s="171"/>
      <c r="B18" s="21"/>
      <c r="C18" s="12"/>
      <c r="D18" s="21">
        <v>44832</v>
      </c>
      <c r="E18" s="12"/>
      <c r="F18" s="35"/>
      <c r="G18" s="168"/>
    </row>
    <row r="19" spans="1:7" s="92" customFormat="1" ht="15.75" x14ac:dyDescent="0.25">
      <c r="A19" s="169"/>
      <c r="B19" s="28"/>
      <c r="C19" s="8"/>
      <c r="D19" s="28"/>
      <c r="E19" s="8"/>
      <c r="G19" s="170"/>
    </row>
    <row r="20" spans="1:7" s="25" customFormat="1" ht="15.75" x14ac:dyDescent="0.25">
      <c r="A20" s="160" t="s">
        <v>438</v>
      </c>
      <c r="B20" s="26" t="s">
        <v>112</v>
      </c>
      <c r="C20" s="26" t="s">
        <v>11</v>
      </c>
      <c r="D20" s="26" t="s">
        <v>200</v>
      </c>
      <c r="E20" s="26" t="s">
        <v>6</v>
      </c>
      <c r="F20" s="26" t="s">
        <v>470</v>
      </c>
      <c r="G20" s="166" t="s">
        <v>7</v>
      </c>
    </row>
    <row r="21" spans="1:7" s="25" customFormat="1" x14ac:dyDescent="0.2">
      <c r="A21" s="171" t="s">
        <v>526</v>
      </c>
      <c r="B21" s="21"/>
      <c r="C21" s="12"/>
      <c r="D21" s="21">
        <v>44832</v>
      </c>
      <c r="E21" s="12" t="s">
        <v>55</v>
      </c>
      <c r="F21" s="35"/>
      <c r="G21" s="168"/>
    </row>
    <row r="22" spans="1:7" s="25" customFormat="1" x14ac:dyDescent="0.2">
      <c r="A22" s="171" t="s">
        <v>524</v>
      </c>
      <c r="B22" s="21"/>
      <c r="C22" s="12"/>
      <c r="D22" s="21">
        <v>44832</v>
      </c>
      <c r="E22" s="12" t="s">
        <v>55</v>
      </c>
      <c r="F22" s="35"/>
      <c r="G22" s="168"/>
    </row>
    <row r="23" spans="1:7" s="92" customFormat="1" ht="15.75" x14ac:dyDescent="0.25">
      <c r="A23" s="169"/>
      <c r="B23" s="28"/>
      <c r="C23" s="8"/>
      <c r="D23" s="28"/>
      <c r="E23" s="8"/>
      <c r="G23" s="170"/>
    </row>
    <row r="24" spans="1:7" ht="15.75" x14ac:dyDescent="0.25">
      <c r="A24" s="160" t="s">
        <v>30</v>
      </c>
      <c r="B24" s="26" t="s">
        <v>112</v>
      </c>
      <c r="C24" s="26" t="s">
        <v>11</v>
      </c>
      <c r="D24" s="26" t="s">
        <v>200</v>
      </c>
      <c r="E24" s="26" t="s">
        <v>6</v>
      </c>
      <c r="F24" s="26" t="s">
        <v>470</v>
      </c>
      <c r="G24" s="172" t="s">
        <v>7</v>
      </c>
    </row>
    <row r="25" spans="1:7" x14ac:dyDescent="0.2">
      <c r="A25" s="171">
        <v>1</v>
      </c>
      <c r="B25" s="21">
        <f t="shared" ref="B25:B39" ca="1" si="0">TODAY()</f>
        <v>45945</v>
      </c>
      <c r="C25" s="12">
        <v>14</v>
      </c>
      <c r="D25" s="21">
        <f t="shared" ref="D25:D39" ca="1" si="1">SUM(B25+C25)</f>
        <v>45959</v>
      </c>
      <c r="E25" s="12" t="s">
        <v>55</v>
      </c>
      <c r="F25" s="12" t="s">
        <v>306</v>
      </c>
      <c r="G25" s="173"/>
    </row>
    <row r="26" spans="1:7" x14ac:dyDescent="0.2">
      <c r="A26" s="171">
        <v>2</v>
      </c>
      <c r="B26" s="21">
        <f t="shared" ca="1" si="0"/>
        <v>45945</v>
      </c>
      <c r="C26" s="12">
        <v>14</v>
      </c>
      <c r="D26" s="21">
        <f t="shared" ca="1" si="1"/>
        <v>45959</v>
      </c>
      <c r="E26" s="12" t="s">
        <v>55</v>
      </c>
      <c r="F26" s="12" t="s">
        <v>307</v>
      </c>
      <c r="G26" s="173"/>
    </row>
    <row r="27" spans="1:7" x14ac:dyDescent="0.2">
      <c r="A27" s="171">
        <v>3</v>
      </c>
      <c r="B27" s="21">
        <f t="shared" ca="1" si="0"/>
        <v>45945</v>
      </c>
      <c r="C27" s="12">
        <v>14</v>
      </c>
      <c r="D27" s="21">
        <f t="shared" ca="1" si="1"/>
        <v>45959</v>
      </c>
      <c r="E27" s="12" t="s">
        <v>55</v>
      </c>
      <c r="F27" s="12" t="s">
        <v>308</v>
      </c>
      <c r="G27" s="173"/>
    </row>
    <row r="28" spans="1:7" x14ac:dyDescent="0.2">
      <c r="A28" s="171">
        <v>4</v>
      </c>
      <c r="B28" s="21">
        <f t="shared" ca="1" si="0"/>
        <v>45945</v>
      </c>
      <c r="C28" s="12">
        <v>14</v>
      </c>
      <c r="D28" s="21">
        <f t="shared" ca="1" si="1"/>
        <v>45959</v>
      </c>
      <c r="E28" s="12" t="s">
        <v>55</v>
      </c>
      <c r="F28" s="12" t="s">
        <v>309</v>
      </c>
      <c r="G28" s="173"/>
    </row>
    <row r="29" spans="1:7" x14ac:dyDescent="0.2">
      <c r="A29" s="171">
        <v>5</v>
      </c>
      <c r="B29" s="21">
        <f t="shared" ca="1" si="0"/>
        <v>45945</v>
      </c>
      <c r="C29" s="12">
        <v>14</v>
      </c>
      <c r="D29" s="21">
        <f t="shared" ca="1" si="1"/>
        <v>45959</v>
      </c>
      <c r="E29" s="12" t="s">
        <v>55</v>
      </c>
      <c r="F29" s="12" t="s">
        <v>310</v>
      </c>
      <c r="G29" s="173"/>
    </row>
    <row r="30" spans="1:7" x14ac:dyDescent="0.2">
      <c r="A30" s="171">
        <v>6</v>
      </c>
      <c r="B30" s="21">
        <f t="shared" ca="1" si="0"/>
        <v>45945</v>
      </c>
      <c r="C30" s="12">
        <v>14</v>
      </c>
      <c r="D30" s="21">
        <f t="shared" ca="1" si="1"/>
        <v>45959</v>
      </c>
      <c r="E30" s="12" t="s">
        <v>55</v>
      </c>
      <c r="F30" s="12" t="s">
        <v>311</v>
      </c>
      <c r="G30" s="173"/>
    </row>
    <row r="31" spans="1:7" x14ac:dyDescent="0.2">
      <c r="A31" s="171">
        <v>7</v>
      </c>
      <c r="B31" s="21">
        <f t="shared" ca="1" si="0"/>
        <v>45945</v>
      </c>
      <c r="C31" s="12">
        <v>14</v>
      </c>
      <c r="D31" s="21">
        <f t="shared" ca="1" si="1"/>
        <v>45959</v>
      </c>
      <c r="E31" s="12" t="s">
        <v>55</v>
      </c>
      <c r="F31" s="12" t="s">
        <v>312</v>
      </c>
      <c r="G31" s="173"/>
    </row>
    <row r="32" spans="1:7" x14ac:dyDescent="0.2">
      <c r="A32" s="171">
        <v>8</v>
      </c>
      <c r="B32" s="21">
        <f t="shared" ca="1" si="0"/>
        <v>45945</v>
      </c>
      <c r="C32" s="12">
        <v>14</v>
      </c>
      <c r="D32" s="21">
        <f t="shared" ca="1" si="1"/>
        <v>45959</v>
      </c>
      <c r="E32" s="12" t="s">
        <v>55</v>
      </c>
      <c r="F32" s="12" t="s">
        <v>313</v>
      </c>
      <c r="G32" s="173"/>
    </row>
    <row r="33" spans="1:50" x14ac:dyDescent="0.2">
      <c r="A33" s="171">
        <v>9</v>
      </c>
      <c r="B33" s="21">
        <f t="shared" ca="1" si="0"/>
        <v>45945</v>
      </c>
      <c r="C33" s="12">
        <v>14</v>
      </c>
      <c r="D33" s="21">
        <f t="shared" ca="1" si="1"/>
        <v>45959</v>
      </c>
      <c r="E33" s="12" t="s">
        <v>55</v>
      </c>
      <c r="F33" s="12" t="s">
        <v>318</v>
      </c>
      <c r="G33" s="173"/>
    </row>
    <row r="34" spans="1:50" x14ac:dyDescent="0.2">
      <c r="A34" s="171">
        <v>10</v>
      </c>
      <c r="B34" s="21">
        <f t="shared" ca="1" si="0"/>
        <v>45945</v>
      </c>
      <c r="C34" s="12">
        <v>14</v>
      </c>
      <c r="D34" s="21">
        <f t="shared" ca="1" si="1"/>
        <v>45959</v>
      </c>
      <c r="E34" s="12" t="s">
        <v>55</v>
      </c>
      <c r="F34" s="12" t="s">
        <v>314</v>
      </c>
      <c r="G34" s="173"/>
    </row>
    <row r="35" spans="1:50" x14ac:dyDescent="0.2">
      <c r="A35" s="171">
        <v>11</v>
      </c>
      <c r="B35" s="21">
        <f t="shared" ca="1" si="0"/>
        <v>45945</v>
      </c>
      <c r="C35" s="12">
        <v>14</v>
      </c>
      <c r="D35" s="21">
        <f t="shared" ca="1" si="1"/>
        <v>45959</v>
      </c>
      <c r="E35" s="12" t="s">
        <v>55</v>
      </c>
      <c r="F35" s="12" t="s">
        <v>315</v>
      </c>
      <c r="G35" s="173"/>
    </row>
    <row r="36" spans="1:50" x14ac:dyDescent="0.2">
      <c r="A36" s="171">
        <v>12</v>
      </c>
      <c r="B36" s="21">
        <f t="shared" ca="1" si="0"/>
        <v>45945</v>
      </c>
      <c r="C36" s="12">
        <v>14</v>
      </c>
      <c r="D36" s="21">
        <f t="shared" ca="1" si="1"/>
        <v>45959</v>
      </c>
      <c r="E36" s="12" t="s">
        <v>55</v>
      </c>
      <c r="F36" s="12" t="s">
        <v>316</v>
      </c>
      <c r="G36" s="173"/>
    </row>
    <row r="37" spans="1:50" x14ac:dyDescent="0.2">
      <c r="A37" s="171">
        <v>13</v>
      </c>
      <c r="B37" s="21">
        <f t="shared" ca="1" si="0"/>
        <v>45945</v>
      </c>
      <c r="C37" s="12">
        <v>14</v>
      </c>
      <c r="D37" s="21">
        <f t="shared" ca="1" si="1"/>
        <v>45959</v>
      </c>
      <c r="E37" s="12" t="s">
        <v>55</v>
      </c>
      <c r="F37" s="12" t="s">
        <v>317</v>
      </c>
      <c r="G37" s="173"/>
    </row>
    <row r="38" spans="1:50" x14ac:dyDescent="0.2">
      <c r="A38" s="171">
        <v>14</v>
      </c>
      <c r="B38" s="21">
        <f t="shared" ca="1" si="0"/>
        <v>45945</v>
      </c>
      <c r="C38" s="12">
        <v>14</v>
      </c>
      <c r="D38" s="21">
        <f t="shared" ca="1" si="1"/>
        <v>45959</v>
      </c>
      <c r="E38" s="12" t="s">
        <v>55</v>
      </c>
      <c r="F38" s="12" t="s">
        <v>319</v>
      </c>
      <c r="G38" s="173"/>
    </row>
    <row r="39" spans="1:50" x14ac:dyDescent="0.2">
      <c r="A39" s="171">
        <v>15</v>
      </c>
      <c r="B39" s="21">
        <f t="shared" ca="1" si="0"/>
        <v>45945</v>
      </c>
      <c r="C39" s="12">
        <v>14</v>
      </c>
      <c r="D39" s="21">
        <f t="shared" ca="1" si="1"/>
        <v>45959</v>
      </c>
      <c r="E39" s="12" t="s">
        <v>55</v>
      </c>
      <c r="F39" s="12" t="s">
        <v>320</v>
      </c>
      <c r="G39" s="173"/>
    </row>
    <row r="40" spans="1:50" x14ac:dyDescent="0.2">
      <c r="A40" s="174"/>
      <c r="B40" s="25"/>
      <c r="C40" s="25"/>
      <c r="D40" s="23"/>
      <c r="E40" s="23"/>
      <c r="F40" s="23"/>
      <c r="G40" s="155"/>
    </row>
    <row r="41" spans="1:50" ht="15.75" x14ac:dyDescent="0.25">
      <c r="A41" s="160" t="s">
        <v>571</v>
      </c>
      <c r="B41" s="26" t="s">
        <v>112</v>
      </c>
      <c r="C41" s="26" t="s">
        <v>11</v>
      </c>
      <c r="D41" s="26" t="s">
        <v>200</v>
      </c>
      <c r="E41" s="26" t="s">
        <v>6</v>
      </c>
      <c r="F41" s="26" t="s">
        <v>470</v>
      </c>
      <c r="G41" s="166" t="s">
        <v>7</v>
      </c>
    </row>
    <row r="42" spans="1:50" x14ac:dyDescent="0.2">
      <c r="A42" s="171" t="s">
        <v>575</v>
      </c>
      <c r="B42" s="12"/>
      <c r="C42" s="12"/>
      <c r="D42" s="12"/>
      <c r="E42" s="12"/>
      <c r="F42" s="12"/>
      <c r="G42" s="173"/>
    </row>
    <row r="43" spans="1:50" x14ac:dyDescent="0.2">
      <c r="A43" s="171" t="s">
        <v>576</v>
      </c>
      <c r="B43" s="12"/>
      <c r="C43" s="12"/>
      <c r="D43" s="12"/>
      <c r="E43" s="12"/>
      <c r="F43" s="12"/>
      <c r="G43" s="173"/>
    </row>
    <row r="44" spans="1:50" s="9" customFormat="1" x14ac:dyDescent="0.2">
      <c r="A44" s="174"/>
      <c r="B44" s="25"/>
      <c r="C44" s="25"/>
      <c r="D44" s="23"/>
      <c r="E44" s="23"/>
      <c r="F44" s="23"/>
      <c r="G44" s="155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</row>
    <row r="45" spans="1:50" ht="15.75" x14ac:dyDescent="0.25">
      <c r="A45" s="291" t="s">
        <v>1</v>
      </c>
      <c r="B45" s="268"/>
      <c r="C45" s="268"/>
      <c r="D45" s="268"/>
      <c r="E45" s="268"/>
      <c r="F45" s="268"/>
      <c r="G45" s="292"/>
    </row>
    <row r="46" spans="1:50" ht="15.75" x14ac:dyDescent="0.25">
      <c r="A46" s="160" t="s">
        <v>31</v>
      </c>
      <c r="B46" s="26" t="s">
        <v>112</v>
      </c>
      <c r="C46" s="26" t="s">
        <v>11</v>
      </c>
      <c r="D46" s="26" t="s">
        <v>200</v>
      </c>
      <c r="E46" s="26" t="s">
        <v>6</v>
      </c>
      <c r="F46" s="247" t="s">
        <v>7</v>
      </c>
      <c r="G46" s="293"/>
    </row>
    <row r="47" spans="1:50" x14ac:dyDescent="0.2">
      <c r="A47" s="171">
        <v>4</v>
      </c>
      <c r="B47" s="21">
        <f ca="1">TODAY()</f>
        <v>45945</v>
      </c>
      <c r="C47" s="12">
        <v>14</v>
      </c>
      <c r="D47" s="21" t="s">
        <v>112</v>
      </c>
      <c r="E47" s="12" t="s">
        <v>55</v>
      </c>
      <c r="F47" s="12"/>
      <c r="G47" s="173"/>
    </row>
    <row r="48" spans="1:50" x14ac:dyDescent="0.2">
      <c r="A48" s="171">
        <v>5</v>
      </c>
      <c r="B48" s="21">
        <f ca="1">TODAY()</f>
        <v>45945</v>
      </c>
      <c r="C48" s="12">
        <v>14</v>
      </c>
      <c r="D48" s="21" t="s">
        <v>112</v>
      </c>
      <c r="E48" s="12" t="s">
        <v>55</v>
      </c>
      <c r="F48" s="12"/>
      <c r="G48" s="173"/>
    </row>
    <row r="49" spans="1:7" ht="15.75" thickBot="1" x14ac:dyDescent="0.25">
      <c r="A49" s="176">
        <v>6</v>
      </c>
      <c r="B49" s="177">
        <f ca="1">TODAY()</f>
        <v>45945</v>
      </c>
      <c r="C49" s="178">
        <v>14</v>
      </c>
      <c r="D49" s="177" t="s">
        <v>112</v>
      </c>
      <c r="E49" s="178" t="s">
        <v>55</v>
      </c>
      <c r="F49" s="178"/>
      <c r="G49" s="179"/>
    </row>
    <row r="50" spans="1:7" x14ac:dyDescent="0.2">
      <c r="A50" s="25"/>
      <c r="B50" s="25"/>
      <c r="C50" s="23"/>
      <c r="D50" s="23"/>
      <c r="E50" s="23"/>
      <c r="F50" s="23"/>
      <c r="G50" s="23"/>
    </row>
    <row r="51" spans="1:7" x14ac:dyDescent="0.2">
      <c r="A51" s="25"/>
      <c r="B51" s="25"/>
      <c r="C51" s="23"/>
      <c r="D51" s="23"/>
      <c r="E51" s="23"/>
      <c r="F51" s="23"/>
      <c r="G51" s="23"/>
    </row>
    <row r="52" spans="1:7" x14ac:dyDescent="0.2">
      <c r="A52" s="25"/>
      <c r="B52" s="25"/>
      <c r="C52" s="23"/>
      <c r="D52" s="23"/>
      <c r="E52" s="23"/>
      <c r="F52" s="23"/>
      <c r="G52" s="23"/>
    </row>
    <row r="53" spans="1:7" x14ac:dyDescent="0.2">
      <c r="A53" s="25"/>
      <c r="B53" s="25"/>
      <c r="C53" s="23"/>
      <c r="D53" s="23"/>
      <c r="E53" s="23"/>
      <c r="F53" s="23"/>
      <c r="G53" s="23"/>
    </row>
    <row r="54" spans="1:7" x14ac:dyDescent="0.2">
      <c r="A54" s="25"/>
      <c r="B54" s="25"/>
      <c r="C54" s="23"/>
      <c r="D54" s="23"/>
      <c r="E54" s="23"/>
      <c r="F54" s="23"/>
      <c r="G54" s="23"/>
    </row>
    <row r="55" spans="1:7" x14ac:dyDescent="0.2">
      <c r="A55" s="25"/>
      <c r="B55" s="25"/>
      <c r="C55" s="23"/>
      <c r="D55" s="23"/>
      <c r="E55" s="23"/>
      <c r="F55" s="23"/>
      <c r="G55" s="23"/>
    </row>
    <row r="56" spans="1:7" x14ac:dyDescent="0.2">
      <c r="A56" s="25"/>
      <c r="B56" s="25"/>
      <c r="C56" s="23"/>
      <c r="D56" s="23"/>
      <c r="E56" s="23"/>
      <c r="F56" s="23"/>
      <c r="G56" s="23"/>
    </row>
  </sheetData>
  <mergeCells count="4">
    <mergeCell ref="A9:G9"/>
    <mergeCell ref="A16:G16"/>
    <mergeCell ref="F46:G46"/>
    <mergeCell ref="A45:G45"/>
  </mergeCells>
  <dataValidations count="2">
    <dataValidation type="list" allowBlank="1" showInputMessage="1" showErrorMessage="1" sqref="B6:B7" xr:uid="{A05F968C-A12E-4855-B1A4-4528AD834AE6}">
      <formula1>"Yes,No"</formula1>
    </dataValidation>
    <dataValidation type="list" allowBlank="1" showInputMessage="1" showErrorMessage="1" sqref="E47:E49 E11:E14 E18:E19 E21:E40" xr:uid="{7B4197D8-23F7-43B9-B4D4-BCBC42E0B902}">
      <formula1>"Untrained, In Progress, Retrain, Trained,Proficient"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986F-23CF-4B7F-84C1-1C9134887316}">
  <dimension ref="A1:AT50"/>
  <sheetViews>
    <sheetView zoomScale="145" zoomScaleNormal="145" workbookViewId="0">
      <selection activeCell="B6" sqref="B6"/>
    </sheetView>
  </sheetViews>
  <sheetFormatPr defaultRowHeight="15" x14ac:dyDescent="0.25"/>
  <cols>
    <col min="1" max="1" width="38.85546875" bestFit="1" customWidth="1"/>
    <col min="2" max="2" width="22.42578125" bestFit="1" customWidth="1"/>
    <col min="3" max="3" width="17" bestFit="1" customWidth="1"/>
    <col min="4" max="4" width="20.42578125" bestFit="1" customWidth="1"/>
    <col min="5" max="5" width="9.85546875" bestFit="1" customWidth="1"/>
    <col min="6" max="6" width="16" customWidth="1"/>
    <col min="7" max="7" width="37.28515625" customWidth="1"/>
    <col min="8" max="46" width="8.7109375" style="104"/>
  </cols>
  <sheetData>
    <row r="1" spans="1:46" ht="15.75" x14ac:dyDescent="0.25">
      <c r="A1" s="181" t="s">
        <v>69</v>
      </c>
      <c r="B1" s="182"/>
      <c r="C1" s="183" t="s">
        <v>87</v>
      </c>
      <c r="D1" s="184">
        <f ca="1">TODAY()</f>
        <v>45945</v>
      </c>
      <c r="E1" s="185"/>
      <c r="F1" s="185"/>
      <c r="G1" s="208"/>
    </row>
    <row r="2" spans="1:46" ht="15.75" x14ac:dyDescent="0.25">
      <c r="A2" s="187" t="s">
        <v>78</v>
      </c>
      <c r="B2" s="18" t="s">
        <v>83</v>
      </c>
      <c r="C2" s="17" t="s">
        <v>5</v>
      </c>
      <c r="D2" s="6">
        <f>VLOOKUP(B3,Target,4,0)</f>
        <v>44657</v>
      </c>
      <c r="F2" s="4"/>
      <c r="G2" s="209"/>
    </row>
    <row r="3" spans="1:46" ht="21" x14ac:dyDescent="0.35">
      <c r="A3" s="189" t="s">
        <v>70</v>
      </c>
      <c r="B3" s="216" t="s">
        <v>82</v>
      </c>
      <c r="C3" s="17" t="s">
        <v>12</v>
      </c>
      <c r="D3" s="10">
        <f ca="1">SUM(D2-(TODAY()))</f>
        <v>-1288</v>
      </c>
      <c r="E3" s="4"/>
      <c r="F3" s="4"/>
      <c r="G3" s="209"/>
    </row>
    <row r="4" spans="1:46" ht="15.75" x14ac:dyDescent="0.25">
      <c r="A4" s="190"/>
      <c r="B4" s="191"/>
      <c r="C4" s="4"/>
      <c r="D4" s="4"/>
      <c r="E4" s="4"/>
      <c r="F4" s="4"/>
      <c r="G4" s="209"/>
    </row>
    <row r="5" spans="1:46" s="25" customFormat="1" ht="15.75" x14ac:dyDescent="0.25">
      <c r="A5" s="158" t="s">
        <v>109</v>
      </c>
      <c r="B5" s="31" t="s">
        <v>595</v>
      </c>
      <c r="C5" s="91"/>
      <c r="D5" s="91"/>
      <c r="E5" s="91"/>
      <c r="F5" s="91"/>
      <c r="G5" s="159"/>
    </row>
    <row r="6" spans="1:46" s="25" customFormat="1" ht="15.75" x14ac:dyDescent="0.25">
      <c r="A6" s="160" t="s">
        <v>32</v>
      </c>
      <c r="B6" s="31"/>
      <c r="C6" s="91"/>
      <c r="D6" s="91"/>
      <c r="E6" s="91"/>
      <c r="F6" s="91"/>
      <c r="G6" s="159"/>
    </row>
    <row r="7" spans="1:46" s="25" customFormat="1" ht="15.75" x14ac:dyDescent="0.25">
      <c r="A7" s="161" t="s">
        <v>39</v>
      </c>
      <c r="B7" s="31"/>
      <c r="C7" s="91"/>
      <c r="D7" s="91"/>
      <c r="E7" s="91"/>
      <c r="F7" s="91"/>
      <c r="G7" s="159"/>
    </row>
    <row r="8" spans="1:46" ht="15.75" x14ac:dyDescent="0.25">
      <c r="A8" s="190"/>
      <c r="B8" s="191"/>
      <c r="C8" s="4"/>
      <c r="D8" s="4"/>
      <c r="E8" s="4"/>
      <c r="F8" s="4"/>
      <c r="G8" s="209"/>
    </row>
    <row r="9" spans="1:46" s="7" customFormat="1" ht="15.75" x14ac:dyDescent="0.25">
      <c r="A9" s="160" t="s">
        <v>426</v>
      </c>
      <c r="B9" s="26" t="s">
        <v>112</v>
      </c>
      <c r="C9" s="26" t="s">
        <v>11</v>
      </c>
      <c r="D9" s="26" t="s">
        <v>200</v>
      </c>
      <c r="E9" s="26" t="s">
        <v>6</v>
      </c>
      <c r="F9" s="26" t="s">
        <v>470</v>
      </c>
      <c r="G9" s="210" t="s">
        <v>427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</row>
    <row r="10" spans="1:46" s="7" customFormat="1" x14ac:dyDescent="0.2">
      <c r="A10" s="211" t="s">
        <v>457</v>
      </c>
      <c r="B10" s="21">
        <f t="shared" ref="B10" ca="1" si="0">TODAY()</f>
        <v>45945</v>
      </c>
      <c r="C10" s="12">
        <v>14</v>
      </c>
      <c r="D10" s="21">
        <f t="shared" ref="D10" ca="1" si="1">SUM(B10+C10)</f>
        <v>45959</v>
      </c>
      <c r="E10" s="12" t="s">
        <v>56</v>
      </c>
      <c r="F10" s="35" t="s">
        <v>458</v>
      </c>
      <c r="G10" s="212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</row>
    <row r="11" spans="1:46" ht="15.75" x14ac:dyDescent="0.25">
      <c r="A11" s="190"/>
      <c r="B11" s="191"/>
      <c r="C11" s="4"/>
      <c r="D11" s="4"/>
      <c r="E11" s="4"/>
      <c r="F11" s="4"/>
      <c r="G11" s="213"/>
    </row>
    <row r="12" spans="1:46" ht="15.75" x14ac:dyDescent="0.25">
      <c r="A12" s="291" t="s">
        <v>0</v>
      </c>
      <c r="B12" s="268"/>
      <c r="C12" s="268"/>
      <c r="D12" s="268"/>
      <c r="E12" s="268"/>
      <c r="F12" s="268"/>
      <c r="G12" s="292"/>
    </row>
    <row r="13" spans="1:46" ht="15.75" x14ac:dyDescent="0.25">
      <c r="A13" s="160" t="s">
        <v>32</v>
      </c>
      <c r="B13" s="26" t="s">
        <v>112</v>
      </c>
      <c r="C13" s="1" t="s">
        <v>11</v>
      </c>
      <c r="D13" s="1" t="s">
        <v>200</v>
      </c>
      <c r="E13" s="1" t="s">
        <v>6</v>
      </c>
      <c r="F13" s="298" t="s">
        <v>7</v>
      </c>
      <c r="G13" s="299"/>
    </row>
    <row r="14" spans="1:46" ht="15.75" x14ac:dyDescent="0.25">
      <c r="A14" s="196">
        <v>1</v>
      </c>
      <c r="B14" s="6">
        <f t="shared" ref="B14:B28" ca="1" si="2">TODAY()</f>
        <v>45945</v>
      </c>
      <c r="C14" s="2">
        <v>14</v>
      </c>
      <c r="D14" s="21" t="s">
        <v>112</v>
      </c>
      <c r="E14" s="5" t="s">
        <v>55</v>
      </c>
      <c r="F14" s="294"/>
      <c r="G14" s="295"/>
    </row>
    <row r="15" spans="1:46" ht="15.75" x14ac:dyDescent="0.25">
      <c r="A15" s="196">
        <v>2</v>
      </c>
      <c r="B15" s="6">
        <f t="shared" ca="1" si="2"/>
        <v>45945</v>
      </c>
      <c r="C15" s="2">
        <v>14</v>
      </c>
      <c r="D15" s="21" t="s">
        <v>112</v>
      </c>
      <c r="E15" s="5" t="s">
        <v>55</v>
      </c>
      <c r="F15" s="294"/>
      <c r="G15" s="295"/>
    </row>
    <row r="16" spans="1:46" ht="15.75" x14ac:dyDescent="0.25">
      <c r="A16" s="196">
        <v>3</v>
      </c>
      <c r="B16" s="6">
        <f t="shared" ca="1" si="2"/>
        <v>45945</v>
      </c>
      <c r="C16" s="2">
        <v>14</v>
      </c>
      <c r="D16" s="21" t="s">
        <v>112</v>
      </c>
      <c r="E16" s="5" t="s">
        <v>55</v>
      </c>
      <c r="F16" s="294"/>
      <c r="G16" s="295"/>
    </row>
    <row r="17" spans="1:7" ht="15.75" x14ac:dyDescent="0.25">
      <c r="A17" s="196">
        <v>4</v>
      </c>
      <c r="B17" s="6">
        <f t="shared" ca="1" si="2"/>
        <v>45945</v>
      </c>
      <c r="C17" s="2">
        <v>14</v>
      </c>
      <c r="D17" s="21" t="s">
        <v>112</v>
      </c>
      <c r="E17" s="5" t="s">
        <v>55</v>
      </c>
      <c r="F17" s="294"/>
      <c r="G17" s="295"/>
    </row>
    <row r="18" spans="1:7" ht="15.75" x14ac:dyDescent="0.25">
      <c r="A18" s="196">
        <v>5</v>
      </c>
      <c r="B18" s="6">
        <f t="shared" ca="1" si="2"/>
        <v>45945</v>
      </c>
      <c r="C18" s="2">
        <v>14</v>
      </c>
      <c r="D18" s="21" t="s">
        <v>112</v>
      </c>
      <c r="E18" s="5" t="s">
        <v>55</v>
      </c>
      <c r="F18" s="294"/>
      <c r="G18" s="295"/>
    </row>
    <row r="19" spans="1:7" ht="15.75" x14ac:dyDescent="0.25">
      <c r="A19" s="196">
        <v>6</v>
      </c>
      <c r="B19" s="6">
        <f t="shared" ca="1" si="2"/>
        <v>45945</v>
      </c>
      <c r="C19" s="2">
        <v>14</v>
      </c>
      <c r="D19" s="21" t="s">
        <v>112</v>
      </c>
      <c r="E19" s="5" t="s">
        <v>55</v>
      </c>
      <c r="F19" s="294"/>
      <c r="G19" s="295"/>
    </row>
    <row r="20" spans="1:7" ht="15.75" x14ac:dyDescent="0.25">
      <c r="A20" s="196">
        <v>7</v>
      </c>
      <c r="B20" s="6">
        <f t="shared" ca="1" si="2"/>
        <v>45945</v>
      </c>
      <c r="C20" s="2">
        <v>14</v>
      </c>
      <c r="D20" s="21" t="s">
        <v>112</v>
      </c>
      <c r="E20" s="5" t="s">
        <v>55</v>
      </c>
      <c r="F20" s="294"/>
      <c r="G20" s="295"/>
    </row>
    <row r="21" spans="1:7" ht="15.75" x14ac:dyDescent="0.25">
      <c r="A21" s="196">
        <v>8</v>
      </c>
      <c r="B21" s="6">
        <f t="shared" ca="1" si="2"/>
        <v>45945</v>
      </c>
      <c r="C21" s="2">
        <v>14</v>
      </c>
      <c r="D21" s="21" t="s">
        <v>112</v>
      </c>
      <c r="E21" s="5" t="s">
        <v>55</v>
      </c>
      <c r="F21" s="294"/>
      <c r="G21" s="295"/>
    </row>
    <row r="22" spans="1:7" ht="15.75" x14ac:dyDescent="0.25">
      <c r="A22" s="196">
        <v>9</v>
      </c>
      <c r="B22" s="6">
        <f t="shared" ca="1" si="2"/>
        <v>45945</v>
      </c>
      <c r="C22" s="2">
        <v>14</v>
      </c>
      <c r="D22" s="21" t="s">
        <v>112</v>
      </c>
      <c r="E22" s="5" t="s">
        <v>55</v>
      </c>
      <c r="F22" s="294"/>
      <c r="G22" s="295"/>
    </row>
    <row r="23" spans="1:7" ht="15.75" x14ac:dyDescent="0.25">
      <c r="A23" s="196">
        <v>10</v>
      </c>
      <c r="B23" s="6">
        <f t="shared" ca="1" si="2"/>
        <v>45945</v>
      </c>
      <c r="C23" s="2">
        <v>14</v>
      </c>
      <c r="D23" s="21" t="s">
        <v>112</v>
      </c>
      <c r="E23" s="5" t="s">
        <v>55</v>
      </c>
      <c r="F23" s="294"/>
      <c r="G23" s="295"/>
    </row>
    <row r="24" spans="1:7" ht="15.75" x14ac:dyDescent="0.25">
      <c r="A24" s="196">
        <v>11</v>
      </c>
      <c r="B24" s="6">
        <f t="shared" ca="1" si="2"/>
        <v>45945</v>
      </c>
      <c r="C24" s="2">
        <v>14</v>
      </c>
      <c r="D24" s="21" t="s">
        <v>112</v>
      </c>
      <c r="E24" s="5" t="s">
        <v>55</v>
      </c>
      <c r="F24" s="294"/>
      <c r="G24" s="295"/>
    </row>
    <row r="25" spans="1:7" ht="15.75" x14ac:dyDescent="0.25">
      <c r="A25" s="196">
        <v>12</v>
      </c>
      <c r="B25" s="6">
        <f t="shared" ca="1" si="2"/>
        <v>45945</v>
      </c>
      <c r="C25" s="2">
        <v>14</v>
      </c>
      <c r="D25" s="21" t="s">
        <v>112</v>
      </c>
      <c r="E25" s="5" t="s">
        <v>55</v>
      </c>
      <c r="F25" s="294"/>
      <c r="G25" s="295"/>
    </row>
    <row r="26" spans="1:7" ht="15.75" x14ac:dyDescent="0.25">
      <c r="A26" s="196">
        <v>13</v>
      </c>
      <c r="B26" s="6">
        <f t="shared" ca="1" si="2"/>
        <v>45945</v>
      </c>
      <c r="C26" s="2">
        <v>14</v>
      </c>
      <c r="D26" s="21" t="s">
        <v>112</v>
      </c>
      <c r="E26" s="5" t="s">
        <v>55</v>
      </c>
      <c r="F26" s="294"/>
      <c r="G26" s="295"/>
    </row>
    <row r="27" spans="1:7" ht="15.75" x14ac:dyDescent="0.25">
      <c r="A27" s="196">
        <v>14</v>
      </c>
      <c r="B27" s="6">
        <f t="shared" ca="1" si="2"/>
        <v>45945</v>
      </c>
      <c r="C27" s="2">
        <v>14</v>
      </c>
      <c r="D27" s="21" t="s">
        <v>112</v>
      </c>
      <c r="E27" s="5" t="s">
        <v>55</v>
      </c>
      <c r="F27" s="294"/>
      <c r="G27" s="295"/>
    </row>
    <row r="28" spans="1:7" ht="15.75" x14ac:dyDescent="0.25">
      <c r="A28" s="196">
        <v>15</v>
      </c>
      <c r="B28" s="6">
        <f t="shared" ca="1" si="2"/>
        <v>45945</v>
      </c>
      <c r="C28" s="2">
        <v>14</v>
      </c>
      <c r="D28" s="21" t="s">
        <v>112</v>
      </c>
      <c r="E28" s="5" t="s">
        <v>55</v>
      </c>
      <c r="F28" s="294"/>
      <c r="G28" s="295"/>
    </row>
    <row r="29" spans="1:7" ht="15.75" x14ac:dyDescent="0.25">
      <c r="A29" s="214"/>
      <c r="B29" s="191"/>
      <c r="C29" s="191"/>
      <c r="D29" s="4"/>
      <c r="E29" s="4"/>
      <c r="F29" s="4"/>
      <c r="G29" s="213"/>
    </row>
    <row r="30" spans="1:7" ht="15.75" x14ac:dyDescent="0.25">
      <c r="A30" s="160" t="s">
        <v>58</v>
      </c>
      <c r="B30" s="26" t="s">
        <v>112</v>
      </c>
      <c r="C30" s="1" t="s">
        <v>11</v>
      </c>
      <c r="D30" s="1" t="s">
        <v>200</v>
      </c>
      <c r="E30" s="1" t="s">
        <v>6</v>
      </c>
      <c r="F30" s="300" t="s">
        <v>7</v>
      </c>
      <c r="G30" s="301"/>
    </row>
    <row r="31" spans="1:7" ht="15.75" x14ac:dyDescent="0.25">
      <c r="A31" s="196">
        <v>6</v>
      </c>
      <c r="B31" s="3">
        <f ca="1">TODAY()</f>
        <v>45945</v>
      </c>
      <c r="C31" s="2">
        <v>14</v>
      </c>
      <c r="D31" s="21" t="s">
        <v>112</v>
      </c>
      <c r="E31" s="5" t="s">
        <v>55</v>
      </c>
      <c r="F31" s="294" t="s">
        <v>113</v>
      </c>
      <c r="G31" s="295"/>
    </row>
    <row r="32" spans="1:7" ht="15.75" x14ac:dyDescent="0.25">
      <c r="A32" s="196">
        <v>7</v>
      </c>
      <c r="B32" s="3">
        <f ca="1">TODAY()</f>
        <v>45945</v>
      </c>
      <c r="C32" s="2">
        <v>14</v>
      </c>
      <c r="D32" s="21" t="s">
        <v>112</v>
      </c>
      <c r="E32" s="5" t="s">
        <v>55</v>
      </c>
      <c r="F32" s="294" t="s">
        <v>114</v>
      </c>
      <c r="G32" s="295"/>
    </row>
    <row r="33" spans="1:7" ht="15.75" x14ac:dyDescent="0.25">
      <c r="A33" s="196">
        <v>8</v>
      </c>
      <c r="B33" s="3">
        <f ca="1">TODAY()</f>
        <v>45945</v>
      </c>
      <c r="C33" s="2">
        <v>14</v>
      </c>
      <c r="D33" s="21" t="s">
        <v>112</v>
      </c>
      <c r="E33" s="5" t="s">
        <v>55</v>
      </c>
      <c r="F33" s="294" t="s">
        <v>115</v>
      </c>
      <c r="G33" s="295"/>
    </row>
    <row r="34" spans="1:7" x14ac:dyDescent="0.25">
      <c r="A34" s="215"/>
      <c r="G34" s="213"/>
    </row>
    <row r="35" spans="1:7" ht="15.75" x14ac:dyDescent="0.25">
      <c r="A35" s="291" t="s">
        <v>1</v>
      </c>
      <c r="B35" s="268"/>
      <c r="C35" s="268"/>
      <c r="D35" s="268"/>
      <c r="E35" s="268"/>
      <c r="F35" s="268"/>
      <c r="G35" s="292"/>
    </row>
    <row r="36" spans="1:7" ht="15.75" x14ac:dyDescent="0.25">
      <c r="A36" s="160" t="s">
        <v>39</v>
      </c>
      <c r="B36" s="26" t="s">
        <v>112</v>
      </c>
      <c r="C36" s="1" t="s">
        <v>11</v>
      </c>
      <c r="D36" s="1" t="s">
        <v>200</v>
      </c>
      <c r="E36" s="1" t="s">
        <v>6</v>
      </c>
      <c r="F36" s="298" t="s">
        <v>7</v>
      </c>
      <c r="G36" s="299"/>
    </row>
    <row r="37" spans="1:7" ht="15.75" x14ac:dyDescent="0.25">
      <c r="A37" s="196">
        <v>1</v>
      </c>
      <c r="B37" s="6">
        <f ca="1">TODAY()</f>
        <v>45945</v>
      </c>
      <c r="C37" s="2">
        <v>14</v>
      </c>
      <c r="D37" s="21" t="s">
        <v>112</v>
      </c>
      <c r="E37" s="5" t="s">
        <v>55</v>
      </c>
      <c r="F37" s="294"/>
      <c r="G37" s="295"/>
    </row>
    <row r="38" spans="1:7" ht="16.5" thickBot="1" x14ac:dyDescent="0.3">
      <c r="A38" s="200">
        <v>2</v>
      </c>
      <c r="B38" s="203">
        <f ca="1">TODAY()</f>
        <v>45945</v>
      </c>
      <c r="C38" s="202">
        <v>14</v>
      </c>
      <c r="D38" s="177" t="s">
        <v>112</v>
      </c>
      <c r="E38" s="204" t="s">
        <v>55</v>
      </c>
      <c r="F38" s="296"/>
      <c r="G38" s="297"/>
    </row>
    <row r="39" spans="1:7" x14ac:dyDescent="0.25">
      <c r="A39" s="104"/>
      <c r="B39" s="104"/>
      <c r="C39" s="104"/>
      <c r="D39" s="104"/>
      <c r="E39" s="104"/>
      <c r="F39" s="104"/>
      <c r="G39" s="104"/>
    </row>
    <row r="40" spans="1:7" x14ac:dyDescent="0.25">
      <c r="A40" s="104"/>
      <c r="B40" s="104"/>
      <c r="C40" s="104"/>
      <c r="D40" s="104"/>
      <c r="E40" s="104"/>
      <c r="F40" s="104"/>
      <c r="G40" s="104"/>
    </row>
    <row r="41" spans="1:7" x14ac:dyDescent="0.25">
      <c r="A41" s="104"/>
      <c r="B41" s="104"/>
      <c r="C41" s="104"/>
      <c r="D41" s="104"/>
      <c r="E41" s="104"/>
      <c r="F41" s="104"/>
      <c r="G41" s="104"/>
    </row>
    <row r="42" spans="1:7" x14ac:dyDescent="0.25">
      <c r="A42" s="104"/>
      <c r="B42" s="104"/>
      <c r="C42" s="104"/>
      <c r="D42" s="104"/>
      <c r="E42" s="104"/>
      <c r="F42" s="104"/>
      <c r="G42" s="104"/>
    </row>
    <row r="43" spans="1:7" x14ac:dyDescent="0.25">
      <c r="A43" s="104"/>
      <c r="B43" s="104"/>
      <c r="C43" s="104"/>
      <c r="D43" s="104"/>
      <c r="E43" s="104"/>
      <c r="F43" s="104"/>
      <c r="G43" s="104"/>
    </row>
    <row r="44" spans="1:7" x14ac:dyDescent="0.25">
      <c r="A44" s="104"/>
      <c r="B44" s="104"/>
      <c r="C44" s="104"/>
      <c r="D44" s="104"/>
      <c r="E44" s="104"/>
      <c r="F44" s="104"/>
      <c r="G44" s="104"/>
    </row>
    <row r="45" spans="1:7" x14ac:dyDescent="0.25">
      <c r="A45" s="104"/>
      <c r="B45" s="104"/>
      <c r="C45" s="104"/>
      <c r="D45" s="104"/>
      <c r="E45" s="104"/>
      <c r="F45" s="104"/>
      <c r="G45" s="104"/>
    </row>
    <row r="46" spans="1:7" x14ac:dyDescent="0.25">
      <c r="A46" s="104"/>
      <c r="B46" s="104"/>
      <c r="C46" s="104"/>
      <c r="D46" s="104"/>
      <c r="E46" s="104"/>
      <c r="F46" s="104"/>
      <c r="G46" s="104"/>
    </row>
    <row r="47" spans="1:7" x14ac:dyDescent="0.25">
      <c r="A47" s="104"/>
      <c r="B47" s="104"/>
      <c r="C47" s="104"/>
      <c r="D47" s="104"/>
      <c r="E47" s="104"/>
      <c r="F47" s="104"/>
      <c r="G47" s="104"/>
    </row>
    <row r="48" spans="1:7" x14ac:dyDescent="0.25">
      <c r="A48" s="104"/>
      <c r="B48" s="104"/>
      <c r="C48" s="104"/>
      <c r="D48" s="104"/>
      <c r="E48" s="104"/>
      <c r="F48" s="104"/>
      <c r="G48" s="104"/>
    </row>
    <row r="49" spans="1:7" x14ac:dyDescent="0.25">
      <c r="A49" s="104"/>
      <c r="B49" s="104"/>
      <c r="C49" s="104"/>
      <c r="D49" s="104"/>
      <c r="E49" s="104"/>
      <c r="F49" s="104"/>
      <c r="G49" s="104"/>
    </row>
    <row r="50" spans="1:7" x14ac:dyDescent="0.25">
      <c r="A50" s="104"/>
      <c r="B50" s="104"/>
      <c r="C50" s="104"/>
      <c r="D50" s="104"/>
      <c r="E50" s="104"/>
      <c r="F50" s="104"/>
      <c r="G50" s="104"/>
    </row>
  </sheetData>
  <mergeCells count="25">
    <mergeCell ref="A12:G12"/>
    <mergeCell ref="F14:G14"/>
    <mergeCell ref="F15:G15"/>
    <mergeCell ref="F16:G16"/>
    <mergeCell ref="F17:G17"/>
    <mergeCell ref="F27:G27"/>
    <mergeCell ref="F28:G28"/>
    <mergeCell ref="F13:G13"/>
    <mergeCell ref="F30:G30"/>
    <mergeCell ref="F31:G31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32:G32"/>
    <mergeCell ref="F33:G33"/>
    <mergeCell ref="F37:G37"/>
    <mergeCell ref="F38:G38"/>
    <mergeCell ref="F36:G36"/>
    <mergeCell ref="A35:G35"/>
  </mergeCells>
  <dataValidations count="2">
    <dataValidation type="list" allowBlank="1" showInputMessage="1" showErrorMessage="1" sqref="E14:E28 E37:E38 E31:E33 E10" xr:uid="{2D84C76B-5F82-4DB1-8995-1476DC4D18E0}">
      <formula1>"Untrained, In Progress, Retrain, Trained,Proficient"</formula1>
    </dataValidation>
    <dataValidation type="list" allowBlank="1" showInputMessage="1" showErrorMessage="1" sqref="B6:B7" xr:uid="{3326582A-7FC8-4531-9EEB-AB8745439003}">
      <formula1>"Yes,No"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F820-7380-4D4C-910F-F0EBA2170FC0}">
  <dimension ref="A1:N44"/>
  <sheetViews>
    <sheetView zoomScale="115" zoomScaleNormal="115" workbookViewId="0">
      <selection activeCell="B5" sqref="B5"/>
    </sheetView>
  </sheetViews>
  <sheetFormatPr defaultRowHeight="15" x14ac:dyDescent="0.25"/>
  <cols>
    <col min="1" max="1" width="32" bestFit="1" customWidth="1"/>
    <col min="2" max="2" width="24.140625" bestFit="1" customWidth="1"/>
    <col min="3" max="3" width="17" bestFit="1" customWidth="1"/>
    <col min="4" max="4" width="20.42578125" bestFit="1" customWidth="1"/>
    <col min="5" max="5" width="10.140625" bestFit="1" customWidth="1"/>
    <col min="6" max="6" width="64.85546875" style="41" bestFit="1" customWidth="1"/>
  </cols>
  <sheetData>
    <row r="1" spans="1:14" ht="15.75" x14ac:dyDescent="0.25">
      <c r="A1" s="181" t="s">
        <v>69</v>
      </c>
      <c r="B1" s="182"/>
      <c r="C1" s="183" t="s">
        <v>87</v>
      </c>
      <c r="D1" s="184">
        <f ca="1">TODAY()</f>
        <v>45945</v>
      </c>
      <c r="E1" s="185"/>
      <c r="F1" s="228"/>
    </row>
    <row r="2" spans="1:14" ht="21" x14ac:dyDescent="0.35">
      <c r="A2" s="187" t="s">
        <v>78</v>
      </c>
      <c r="B2" s="122" t="s">
        <v>82</v>
      </c>
      <c r="C2" s="17" t="s">
        <v>5</v>
      </c>
      <c r="D2" s="6">
        <f>VLOOKUP(B3,Target,4,0)</f>
        <v>44747</v>
      </c>
      <c r="E2" s="4"/>
      <c r="F2" s="229"/>
    </row>
    <row r="3" spans="1:14" ht="21" x14ac:dyDescent="0.35">
      <c r="A3" s="189" t="s">
        <v>70</v>
      </c>
      <c r="B3" s="122" t="s">
        <v>81</v>
      </c>
      <c r="C3" s="17" t="s">
        <v>12</v>
      </c>
      <c r="D3" s="10">
        <f ca="1">SUM(D2-(TODAY()))</f>
        <v>-1198</v>
      </c>
      <c r="F3" s="229"/>
    </row>
    <row r="4" spans="1:14" ht="15.75" x14ac:dyDescent="0.25">
      <c r="A4" s="190"/>
      <c r="B4" s="191"/>
      <c r="C4" s="4"/>
      <c r="D4" s="4"/>
      <c r="E4" s="4"/>
      <c r="F4" s="229"/>
    </row>
    <row r="5" spans="1:14" s="25" customFormat="1" ht="15.75" x14ac:dyDescent="0.25">
      <c r="A5" s="158" t="s">
        <v>629</v>
      </c>
      <c r="B5" s="31" t="s">
        <v>595</v>
      </c>
      <c r="C5" s="91"/>
      <c r="D5" s="91"/>
      <c r="E5" s="91"/>
      <c r="F5" s="159"/>
    </row>
    <row r="6" spans="1:14" s="25" customFormat="1" ht="15.75" x14ac:dyDescent="0.25">
      <c r="A6" s="160" t="s">
        <v>33</v>
      </c>
      <c r="B6" s="31"/>
      <c r="C6" s="91"/>
      <c r="D6" s="91"/>
      <c r="E6" s="91"/>
      <c r="F6" s="159"/>
    </row>
    <row r="7" spans="1:14" s="25" customFormat="1" ht="15.75" x14ac:dyDescent="0.25">
      <c r="A7" s="161" t="s">
        <v>39</v>
      </c>
      <c r="B7" s="31"/>
      <c r="C7" s="91"/>
      <c r="D7" s="91"/>
      <c r="E7" s="91"/>
      <c r="F7" s="159"/>
    </row>
    <row r="8" spans="1:14" ht="15.75" x14ac:dyDescent="0.25">
      <c r="A8" s="190"/>
      <c r="B8" s="191"/>
      <c r="C8" s="4"/>
      <c r="D8" s="4"/>
      <c r="E8" s="4"/>
      <c r="F8" s="188"/>
      <c r="G8" s="104"/>
      <c r="H8" s="104"/>
      <c r="I8" s="104"/>
      <c r="J8" s="104"/>
      <c r="K8" s="104"/>
      <c r="L8" s="104"/>
      <c r="M8" s="104"/>
      <c r="N8" s="104"/>
    </row>
    <row r="9" spans="1:14" s="25" customFormat="1" ht="15.75" x14ac:dyDescent="0.25">
      <c r="A9" s="302" t="s">
        <v>348</v>
      </c>
      <c r="B9" s="267"/>
      <c r="C9" s="267"/>
      <c r="D9" s="267"/>
      <c r="E9" s="267"/>
      <c r="F9" s="303"/>
    </row>
    <row r="10" spans="1:14" s="25" customFormat="1" ht="15.75" x14ac:dyDescent="0.25">
      <c r="A10" s="160"/>
      <c r="B10" s="26" t="s">
        <v>112</v>
      </c>
      <c r="C10" s="26" t="s">
        <v>11</v>
      </c>
      <c r="D10" s="26" t="s">
        <v>200</v>
      </c>
      <c r="E10" s="26" t="s">
        <v>6</v>
      </c>
      <c r="F10" s="166" t="s">
        <v>585</v>
      </c>
    </row>
    <row r="11" spans="1:14" s="25" customFormat="1" ht="15.75" x14ac:dyDescent="0.25">
      <c r="A11" s="156"/>
      <c r="B11" s="101"/>
      <c r="C11" s="101"/>
      <c r="D11" s="101"/>
      <c r="E11" s="101"/>
      <c r="F11" s="198"/>
    </row>
    <row r="12" spans="1:14" s="25" customFormat="1" ht="15.75" x14ac:dyDescent="0.25">
      <c r="A12" s="156"/>
      <c r="B12" s="101"/>
      <c r="C12" s="101"/>
      <c r="D12" s="101"/>
      <c r="E12" s="101"/>
      <c r="F12" s="198"/>
      <c r="G12" s="92"/>
    </row>
    <row r="13" spans="1:14" ht="15.75" x14ac:dyDescent="0.25">
      <c r="A13" s="190"/>
      <c r="B13" s="191"/>
      <c r="C13" s="4"/>
      <c r="D13" s="4"/>
      <c r="E13" s="4"/>
      <c r="F13" s="188"/>
      <c r="G13" s="104"/>
      <c r="H13" s="104"/>
      <c r="I13" s="104"/>
      <c r="J13" s="104"/>
      <c r="K13" s="104"/>
      <c r="L13" s="104"/>
      <c r="M13" s="104"/>
      <c r="N13" s="104"/>
    </row>
    <row r="14" spans="1:14" ht="15.75" x14ac:dyDescent="0.25">
      <c r="A14" s="302" t="s">
        <v>0</v>
      </c>
      <c r="B14" s="267"/>
      <c r="C14" s="267"/>
      <c r="D14" s="267"/>
      <c r="E14" s="267"/>
      <c r="F14" s="303"/>
    </row>
    <row r="15" spans="1:14" ht="15.75" x14ac:dyDescent="0.25">
      <c r="A15" s="160" t="s">
        <v>33</v>
      </c>
      <c r="B15" s="1" t="s">
        <v>112</v>
      </c>
      <c r="C15" s="1" t="s">
        <v>11</v>
      </c>
      <c r="D15" s="1" t="s">
        <v>200</v>
      </c>
      <c r="E15" s="1" t="s">
        <v>6</v>
      </c>
      <c r="F15" s="206" t="s">
        <v>7</v>
      </c>
    </row>
    <row r="16" spans="1:14" ht="15.75" x14ac:dyDescent="0.25">
      <c r="A16" s="196">
        <v>1</v>
      </c>
      <c r="B16" s="6">
        <f t="shared" ref="B16:B35" ca="1" si="0">TODAY()</f>
        <v>45945</v>
      </c>
      <c r="C16" s="2">
        <v>14</v>
      </c>
      <c r="D16" s="6" t="s">
        <v>112</v>
      </c>
      <c r="E16" s="5" t="s">
        <v>57</v>
      </c>
      <c r="F16" s="199"/>
    </row>
    <row r="17" spans="1:6" ht="15.75" x14ac:dyDescent="0.25">
      <c r="A17" s="196">
        <v>2</v>
      </c>
      <c r="B17" s="6">
        <f t="shared" ca="1" si="0"/>
        <v>45945</v>
      </c>
      <c r="C17" s="2">
        <v>14</v>
      </c>
      <c r="D17" s="6" t="s">
        <v>112</v>
      </c>
      <c r="E17" s="5" t="s">
        <v>57</v>
      </c>
      <c r="F17" s="199"/>
    </row>
    <row r="18" spans="1:6" ht="15.75" x14ac:dyDescent="0.25">
      <c r="A18" s="196">
        <v>3</v>
      </c>
      <c r="B18" s="6">
        <f t="shared" ca="1" si="0"/>
        <v>45945</v>
      </c>
      <c r="C18" s="2">
        <v>14</v>
      </c>
      <c r="D18" s="6" t="s">
        <v>112</v>
      </c>
      <c r="E18" s="5" t="s">
        <v>57</v>
      </c>
      <c r="F18" s="199"/>
    </row>
    <row r="19" spans="1:6" ht="15.75" x14ac:dyDescent="0.25">
      <c r="A19" s="196">
        <v>4</v>
      </c>
      <c r="B19" s="6">
        <f t="shared" ca="1" si="0"/>
        <v>45945</v>
      </c>
      <c r="C19" s="2">
        <v>14</v>
      </c>
      <c r="D19" s="6" t="s">
        <v>112</v>
      </c>
      <c r="E19" s="5" t="s">
        <v>57</v>
      </c>
      <c r="F19" s="199"/>
    </row>
    <row r="20" spans="1:6" ht="15.75" x14ac:dyDescent="0.25">
      <c r="A20" s="196">
        <v>5</v>
      </c>
      <c r="B20" s="6">
        <f t="shared" ca="1" si="0"/>
        <v>45945</v>
      </c>
      <c r="C20" s="2">
        <v>14</v>
      </c>
      <c r="D20" s="6" t="s">
        <v>112</v>
      </c>
      <c r="E20" s="5" t="s">
        <v>10</v>
      </c>
      <c r="F20" s="199"/>
    </row>
    <row r="21" spans="1:6" ht="15.75" x14ac:dyDescent="0.25">
      <c r="A21" s="196">
        <v>6</v>
      </c>
      <c r="B21" s="6">
        <f t="shared" ca="1" si="0"/>
        <v>45945</v>
      </c>
      <c r="C21" s="2">
        <v>14</v>
      </c>
      <c r="D21" s="6" t="s">
        <v>112</v>
      </c>
      <c r="E21" s="5" t="s">
        <v>10</v>
      </c>
      <c r="F21" s="199"/>
    </row>
    <row r="22" spans="1:6" ht="15.75" x14ac:dyDescent="0.25">
      <c r="A22" s="196">
        <v>7</v>
      </c>
      <c r="B22" s="6">
        <f t="shared" ca="1" si="0"/>
        <v>45945</v>
      </c>
      <c r="C22" s="2">
        <v>14</v>
      </c>
      <c r="D22" s="6" t="s">
        <v>112</v>
      </c>
      <c r="E22" s="5" t="s">
        <v>10</v>
      </c>
      <c r="F22" s="199"/>
    </row>
    <row r="23" spans="1:6" ht="15.75" x14ac:dyDescent="0.25">
      <c r="A23" s="196">
        <v>8</v>
      </c>
      <c r="B23" s="6">
        <f t="shared" ca="1" si="0"/>
        <v>45945</v>
      </c>
      <c r="C23" s="2">
        <v>14</v>
      </c>
      <c r="D23" s="6" t="s">
        <v>112</v>
      </c>
      <c r="E23" s="5" t="s">
        <v>10</v>
      </c>
      <c r="F23" s="199"/>
    </row>
    <row r="24" spans="1:6" ht="15.75" x14ac:dyDescent="0.25">
      <c r="A24" s="196">
        <v>9</v>
      </c>
      <c r="B24" s="6">
        <f t="shared" ca="1" si="0"/>
        <v>45945</v>
      </c>
      <c r="C24" s="2">
        <v>14</v>
      </c>
      <c r="D24" s="6" t="s">
        <v>112</v>
      </c>
      <c r="E24" s="5" t="s">
        <v>10</v>
      </c>
      <c r="F24" s="199"/>
    </row>
    <row r="25" spans="1:6" ht="15.75" x14ac:dyDescent="0.25">
      <c r="A25" s="196">
        <v>10</v>
      </c>
      <c r="B25" s="6">
        <f t="shared" ca="1" si="0"/>
        <v>45945</v>
      </c>
      <c r="C25" s="2">
        <v>14</v>
      </c>
      <c r="D25" s="6" t="s">
        <v>112</v>
      </c>
      <c r="E25" s="5" t="s">
        <v>10</v>
      </c>
      <c r="F25" s="199"/>
    </row>
    <row r="26" spans="1:6" ht="15.75" x14ac:dyDescent="0.25">
      <c r="A26" s="196">
        <v>11</v>
      </c>
      <c r="B26" s="6">
        <f t="shared" ca="1" si="0"/>
        <v>45945</v>
      </c>
      <c r="C26" s="2">
        <v>14</v>
      </c>
      <c r="D26" s="6" t="s">
        <v>112</v>
      </c>
      <c r="E26" s="5" t="s">
        <v>10</v>
      </c>
      <c r="F26" s="199"/>
    </row>
    <row r="27" spans="1:6" ht="15.75" x14ac:dyDescent="0.25">
      <c r="A27" s="196">
        <v>12</v>
      </c>
      <c r="B27" s="6">
        <f t="shared" ca="1" si="0"/>
        <v>45945</v>
      </c>
      <c r="C27" s="2">
        <v>14</v>
      </c>
      <c r="D27" s="6" t="s">
        <v>112</v>
      </c>
      <c r="E27" s="5" t="s">
        <v>10</v>
      </c>
      <c r="F27" s="199"/>
    </row>
    <row r="28" spans="1:6" ht="15.75" x14ac:dyDescent="0.25">
      <c r="A28" s="196">
        <v>13</v>
      </c>
      <c r="B28" s="6">
        <f t="shared" ca="1" si="0"/>
        <v>45945</v>
      </c>
      <c r="C28" s="2">
        <v>14</v>
      </c>
      <c r="D28" s="6" t="s">
        <v>112</v>
      </c>
      <c r="E28" s="5" t="s">
        <v>10</v>
      </c>
      <c r="F28" s="199"/>
    </row>
    <row r="29" spans="1:6" ht="15.75" x14ac:dyDescent="0.25">
      <c r="A29" s="196">
        <v>14</v>
      </c>
      <c r="B29" s="6">
        <f t="shared" ca="1" si="0"/>
        <v>45945</v>
      </c>
      <c r="C29" s="2">
        <v>14</v>
      </c>
      <c r="D29" s="6" t="s">
        <v>112</v>
      </c>
      <c r="E29" s="5" t="s">
        <v>10</v>
      </c>
      <c r="F29" s="199"/>
    </row>
    <row r="30" spans="1:6" ht="15.75" x14ac:dyDescent="0.25">
      <c r="A30" s="196">
        <v>15</v>
      </c>
      <c r="B30" s="6">
        <f t="shared" ca="1" si="0"/>
        <v>45945</v>
      </c>
      <c r="C30" s="2">
        <v>14</v>
      </c>
      <c r="D30" s="6" t="s">
        <v>112</v>
      </c>
      <c r="E30" s="5" t="s">
        <v>10</v>
      </c>
      <c r="F30" s="199"/>
    </row>
    <row r="31" spans="1:6" ht="15.75" x14ac:dyDescent="0.25">
      <c r="A31" s="196">
        <v>16</v>
      </c>
      <c r="B31" s="6">
        <f t="shared" ca="1" si="0"/>
        <v>45945</v>
      </c>
      <c r="C31" s="2">
        <v>14</v>
      </c>
      <c r="D31" s="6" t="s">
        <v>112</v>
      </c>
      <c r="E31" s="5" t="s">
        <v>10</v>
      </c>
      <c r="F31" s="199"/>
    </row>
    <row r="32" spans="1:6" ht="15.75" x14ac:dyDescent="0.25">
      <c r="A32" s="196">
        <v>17</v>
      </c>
      <c r="B32" s="6">
        <f t="shared" ca="1" si="0"/>
        <v>45945</v>
      </c>
      <c r="C32" s="2">
        <v>14</v>
      </c>
      <c r="D32" s="6" t="s">
        <v>112</v>
      </c>
      <c r="E32" s="5" t="s">
        <v>10</v>
      </c>
      <c r="F32" s="199"/>
    </row>
    <row r="33" spans="1:6" ht="15.75" x14ac:dyDescent="0.25">
      <c r="A33" s="196">
        <v>18</v>
      </c>
      <c r="B33" s="6">
        <f t="shared" ca="1" si="0"/>
        <v>45945</v>
      </c>
      <c r="C33" s="2">
        <v>14</v>
      </c>
      <c r="D33" s="6" t="s">
        <v>112</v>
      </c>
      <c r="E33" s="5" t="s">
        <v>10</v>
      </c>
      <c r="F33" s="199"/>
    </row>
    <row r="34" spans="1:6" ht="15.75" x14ac:dyDescent="0.25">
      <c r="A34" s="196">
        <v>19</v>
      </c>
      <c r="B34" s="6">
        <f t="shared" ca="1" si="0"/>
        <v>45945</v>
      </c>
      <c r="C34" s="2">
        <v>14</v>
      </c>
      <c r="D34" s="6" t="s">
        <v>112</v>
      </c>
      <c r="E34" s="5" t="s">
        <v>10</v>
      </c>
      <c r="F34" s="199"/>
    </row>
    <row r="35" spans="1:6" ht="15.75" x14ac:dyDescent="0.25">
      <c r="A35" s="196">
        <v>20</v>
      </c>
      <c r="B35" s="6">
        <f t="shared" ca="1" si="0"/>
        <v>45945</v>
      </c>
      <c r="C35" s="2">
        <v>14</v>
      </c>
      <c r="D35" s="6" t="s">
        <v>112</v>
      </c>
      <c r="E35" s="5" t="s">
        <v>10</v>
      </c>
      <c r="F35" s="199"/>
    </row>
    <row r="36" spans="1:6" ht="15.75" x14ac:dyDescent="0.25">
      <c r="A36" s="190"/>
      <c r="B36" s="191"/>
      <c r="C36" s="4"/>
      <c r="D36" s="4"/>
      <c r="E36" s="4"/>
      <c r="F36" s="229"/>
    </row>
    <row r="37" spans="1:6" ht="15.75" x14ac:dyDescent="0.25">
      <c r="A37" s="160" t="s">
        <v>58</v>
      </c>
      <c r="B37" s="1" t="s">
        <v>112</v>
      </c>
      <c r="C37" s="1" t="s">
        <v>11</v>
      </c>
      <c r="D37" s="1" t="s">
        <v>200</v>
      </c>
      <c r="E37" s="1" t="s">
        <v>6</v>
      </c>
      <c r="F37" s="195" t="s">
        <v>7</v>
      </c>
    </row>
    <row r="38" spans="1:6" ht="15.75" x14ac:dyDescent="0.25">
      <c r="A38" s="196" t="s">
        <v>117</v>
      </c>
      <c r="B38" s="3">
        <f ca="1">TODAY()</f>
        <v>45945</v>
      </c>
      <c r="C38" s="2">
        <v>14</v>
      </c>
      <c r="D38" s="6" t="s">
        <v>112</v>
      </c>
      <c r="E38" s="5" t="s">
        <v>55</v>
      </c>
      <c r="F38" s="199" t="s">
        <v>118</v>
      </c>
    </row>
    <row r="39" spans="1:6" ht="15.75" x14ac:dyDescent="0.25">
      <c r="A39" s="196" t="s">
        <v>119</v>
      </c>
      <c r="B39" s="3">
        <f ca="1">TODAY()</f>
        <v>45945</v>
      </c>
      <c r="C39" s="2">
        <v>14</v>
      </c>
      <c r="D39" s="6" t="s">
        <v>112</v>
      </c>
      <c r="E39" s="5" t="s">
        <v>55</v>
      </c>
      <c r="F39" s="199" t="s">
        <v>120</v>
      </c>
    </row>
    <row r="40" spans="1:6" x14ac:dyDescent="0.25">
      <c r="A40" s="215"/>
      <c r="F40" s="230"/>
    </row>
    <row r="41" spans="1:6" ht="15.75" x14ac:dyDescent="0.25">
      <c r="A41" s="302" t="s">
        <v>0</v>
      </c>
      <c r="B41" s="267"/>
      <c r="C41" s="267"/>
      <c r="D41" s="267"/>
      <c r="E41" s="267"/>
      <c r="F41" s="303"/>
    </row>
    <row r="42" spans="1:6" ht="15.75" x14ac:dyDescent="0.25">
      <c r="A42" s="160" t="s">
        <v>39</v>
      </c>
      <c r="B42" s="1" t="s">
        <v>112</v>
      </c>
      <c r="C42" s="1" t="s">
        <v>11</v>
      </c>
      <c r="D42" s="1" t="s">
        <v>200</v>
      </c>
      <c r="E42" s="1" t="s">
        <v>6</v>
      </c>
      <c r="F42" s="206" t="s">
        <v>7</v>
      </c>
    </row>
    <row r="43" spans="1:6" ht="15.75" x14ac:dyDescent="0.25">
      <c r="A43" s="196">
        <v>4</v>
      </c>
      <c r="B43" s="6">
        <f ca="1">TODAY()</f>
        <v>45945</v>
      </c>
      <c r="C43" s="2">
        <v>14</v>
      </c>
      <c r="D43" s="6" t="s">
        <v>112</v>
      </c>
      <c r="E43" s="5" t="s">
        <v>55</v>
      </c>
      <c r="F43" s="199"/>
    </row>
    <row r="44" spans="1:6" ht="16.5" thickBot="1" x14ac:dyDescent="0.3">
      <c r="A44" s="200">
        <v>5</v>
      </c>
      <c r="B44" s="203">
        <f ca="1">TODAY()</f>
        <v>45945</v>
      </c>
      <c r="C44" s="202">
        <v>14</v>
      </c>
      <c r="D44" s="203" t="s">
        <v>112</v>
      </c>
      <c r="E44" s="204" t="s">
        <v>55</v>
      </c>
      <c r="F44" s="205"/>
    </row>
  </sheetData>
  <mergeCells count="3">
    <mergeCell ref="A14:F14"/>
    <mergeCell ref="A41:F41"/>
    <mergeCell ref="A9:F9"/>
  </mergeCells>
  <dataValidations count="2">
    <dataValidation type="list" allowBlank="1" showInputMessage="1" showErrorMessage="1" sqref="E16:E35 E43:E44 E38:E39" xr:uid="{7B4DC8C1-31C3-4E6F-8BBB-7A003A43129F}">
      <formula1>"Untrained, In Progress, Retrain, Trained,Proficient"</formula1>
    </dataValidation>
    <dataValidation type="list" allowBlank="1" showInputMessage="1" showErrorMessage="1" sqref="B6:B7" xr:uid="{D1EC01BE-B54F-4A95-B6A6-CFFEB39C8163}">
      <formula1>"Yes,No"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71A3-5052-4DFC-BC3A-C6611BD1E0BD}">
  <dimension ref="A1:P42"/>
  <sheetViews>
    <sheetView zoomScale="115" zoomScaleNormal="115" workbookViewId="0">
      <selection activeCell="B5" sqref="B5"/>
    </sheetView>
  </sheetViews>
  <sheetFormatPr defaultRowHeight="15" x14ac:dyDescent="0.25"/>
  <cols>
    <col min="1" max="1" width="36" bestFit="1" customWidth="1"/>
    <col min="2" max="2" width="18.28515625" bestFit="1" customWidth="1"/>
    <col min="3" max="3" width="17" bestFit="1" customWidth="1"/>
    <col min="4" max="4" width="20.42578125" bestFit="1" customWidth="1"/>
    <col min="5" max="5" width="9.85546875" bestFit="1" customWidth="1"/>
    <col min="6" max="6" width="64.140625" bestFit="1" customWidth="1"/>
  </cols>
  <sheetData>
    <row r="1" spans="1:16" ht="15.75" x14ac:dyDescent="0.25">
      <c r="A1" s="181" t="s">
        <v>69</v>
      </c>
      <c r="B1" s="182"/>
      <c r="C1" s="183" t="s">
        <v>87</v>
      </c>
      <c r="D1" s="184">
        <f ca="1">TODAY()</f>
        <v>45945</v>
      </c>
      <c r="E1" s="185"/>
      <c r="F1" s="186"/>
    </row>
    <row r="2" spans="1:16" ht="21" x14ac:dyDescent="0.35">
      <c r="A2" s="187" t="s">
        <v>78</v>
      </c>
      <c r="B2" s="122" t="s">
        <v>81</v>
      </c>
      <c r="C2" s="17" t="s">
        <v>5</v>
      </c>
      <c r="D2" s="6">
        <f>VLOOKUP(B3,Target,4,0)</f>
        <v>44837</v>
      </c>
      <c r="E2" s="4"/>
      <c r="F2" s="188"/>
    </row>
    <row r="3" spans="1:16" ht="21" x14ac:dyDescent="0.35">
      <c r="A3" s="189" t="s">
        <v>70</v>
      </c>
      <c r="B3" s="122" t="s">
        <v>84</v>
      </c>
      <c r="C3" s="17" t="s">
        <v>12</v>
      </c>
      <c r="D3" s="10">
        <f ca="1">SUM(D2-(TODAY()))</f>
        <v>-1108</v>
      </c>
      <c r="E3" s="4"/>
      <c r="F3" s="188"/>
    </row>
    <row r="4" spans="1:16" ht="15.75" x14ac:dyDescent="0.25">
      <c r="A4" s="190"/>
      <c r="B4" s="191"/>
      <c r="C4" s="4"/>
      <c r="D4" s="4"/>
      <c r="E4" s="4"/>
      <c r="F4" s="188"/>
      <c r="G4" s="104"/>
      <c r="H4" s="104"/>
      <c r="I4" s="104"/>
      <c r="J4" s="104"/>
      <c r="K4" s="104"/>
      <c r="L4" s="104"/>
      <c r="M4" s="104"/>
      <c r="N4" s="104"/>
      <c r="O4" s="104"/>
      <c r="P4" s="104"/>
    </row>
    <row r="5" spans="1:16" s="25" customFormat="1" ht="21" x14ac:dyDescent="0.35">
      <c r="A5" s="192" t="s">
        <v>630</v>
      </c>
      <c r="B5" s="31" t="s">
        <v>595</v>
      </c>
      <c r="C5" s="91"/>
      <c r="D5" s="91"/>
      <c r="E5" s="91"/>
      <c r="F5" s="159"/>
      <c r="G5" s="91"/>
    </row>
    <row r="6" spans="1:16" s="25" customFormat="1" ht="15.75" x14ac:dyDescent="0.25">
      <c r="A6" s="160" t="s">
        <v>34</v>
      </c>
      <c r="B6" s="31"/>
      <c r="C6" s="91"/>
      <c r="D6" s="91"/>
      <c r="E6" s="91"/>
      <c r="F6" s="159"/>
      <c r="G6" s="91"/>
    </row>
    <row r="7" spans="1:16" s="25" customFormat="1" ht="15.75" x14ac:dyDescent="0.25">
      <c r="A7" s="161" t="s">
        <v>622</v>
      </c>
      <c r="B7" s="31"/>
      <c r="C7" s="91"/>
      <c r="D7" s="91"/>
      <c r="E7" s="91"/>
      <c r="F7" s="159"/>
      <c r="G7" s="91"/>
    </row>
    <row r="8" spans="1:16" ht="15.75" x14ac:dyDescent="0.25">
      <c r="A8" s="190"/>
      <c r="B8" s="191"/>
      <c r="C8" s="4"/>
      <c r="D8" s="4"/>
      <c r="E8" s="4"/>
      <c r="F8" s="188"/>
    </row>
    <row r="9" spans="1:16" s="25" customFormat="1" ht="15.75" x14ac:dyDescent="0.25">
      <c r="A9" s="302" t="s">
        <v>348</v>
      </c>
      <c r="B9" s="267"/>
      <c r="C9" s="267"/>
      <c r="D9" s="267"/>
      <c r="E9" s="267"/>
      <c r="F9" s="303"/>
    </row>
    <row r="10" spans="1:16" s="25" customFormat="1" ht="15.75" x14ac:dyDescent="0.25">
      <c r="A10" s="160"/>
      <c r="B10" s="26" t="s">
        <v>112</v>
      </c>
      <c r="C10" s="26" t="s">
        <v>11</v>
      </c>
      <c r="D10" s="26" t="s">
        <v>200</v>
      </c>
      <c r="E10" s="26" t="s">
        <v>6</v>
      </c>
      <c r="F10" s="166" t="s">
        <v>585</v>
      </c>
    </row>
    <row r="11" spans="1:16" s="25" customFormat="1" ht="15.75" x14ac:dyDescent="0.25">
      <c r="A11" s="156"/>
      <c r="B11" s="101"/>
      <c r="C11" s="101"/>
      <c r="D11" s="101"/>
      <c r="E11" s="101"/>
      <c r="F11" s="198"/>
    </row>
    <row r="12" spans="1:16" s="25" customFormat="1" ht="15.75" x14ac:dyDescent="0.25">
      <c r="A12" s="156"/>
      <c r="B12" s="101"/>
      <c r="C12" s="101"/>
      <c r="D12" s="101"/>
      <c r="E12" s="101"/>
      <c r="F12" s="198"/>
      <c r="G12" s="92"/>
    </row>
    <row r="13" spans="1:16" ht="15.75" x14ac:dyDescent="0.25">
      <c r="A13" s="190"/>
      <c r="B13" s="191"/>
      <c r="C13" s="4"/>
      <c r="D13" s="4"/>
      <c r="E13" s="4"/>
      <c r="F13" s="188"/>
      <c r="G13" s="104"/>
      <c r="H13" s="104"/>
      <c r="I13" s="104"/>
      <c r="J13" s="104"/>
      <c r="K13" s="104"/>
      <c r="L13" s="104"/>
      <c r="M13" s="104"/>
      <c r="N13" s="104"/>
    </row>
    <row r="14" spans="1:16" ht="15.75" x14ac:dyDescent="0.25">
      <c r="A14" s="302" t="s">
        <v>0</v>
      </c>
      <c r="B14" s="267"/>
      <c r="C14" s="267"/>
      <c r="D14" s="267"/>
      <c r="E14" s="267"/>
      <c r="F14" s="303"/>
    </row>
    <row r="15" spans="1:16" ht="15.75" x14ac:dyDescent="0.25">
      <c r="A15" s="160" t="s">
        <v>34</v>
      </c>
      <c r="B15" s="1" t="s">
        <v>112</v>
      </c>
      <c r="C15" s="1" t="s">
        <v>11</v>
      </c>
      <c r="D15" s="1" t="s">
        <v>200</v>
      </c>
      <c r="E15" s="1" t="s">
        <v>6</v>
      </c>
      <c r="F15" s="195" t="s">
        <v>7</v>
      </c>
    </row>
    <row r="16" spans="1:16" ht="15.75" x14ac:dyDescent="0.25">
      <c r="A16" s="196">
        <v>1</v>
      </c>
      <c r="B16" s="6">
        <f t="shared" ref="B16:B38" ca="1" si="0">TODAY()</f>
        <v>45945</v>
      </c>
      <c r="C16" s="2">
        <v>14</v>
      </c>
      <c r="D16" s="6" t="s">
        <v>112</v>
      </c>
      <c r="E16" s="5" t="s">
        <v>10</v>
      </c>
      <c r="F16" s="197"/>
    </row>
    <row r="17" spans="1:6" ht="15.75" x14ac:dyDescent="0.25">
      <c r="A17" s="196">
        <v>2</v>
      </c>
      <c r="B17" s="6">
        <f t="shared" ca="1" si="0"/>
        <v>45945</v>
      </c>
      <c r="C17" s="2">
        <v>14</v>
      </c>
      <c r="D17" s="6" t="s">
        <v>112</v>
      </c>
      <c r="E17" s="5" t="s">
        <v>10</v>
      </c>
      <c r="F17" s="197"/>
    </row>
    <row r="18" spans="1:6" ht="15.75" x14ac:dyDescent="0.25">
      <c r="A18" s="196">
        <v>3</v>
      </c>
      <c r="B18" s="6">
        <f t="shared" ca="1" si="0"/>
        <v>45945</v>
      </c>
      <c r="C18" s="2">
        <v>14</v>
      </c>
      <c r="D18" s="6" t="s">
        <v>112</v>
      </c>
      <c r="E18" s="5" t="s">
        <v>10</v>
      </c>
      <c r="F18" s="197"/>
    </row>
    <row r="19" spans="1:6" ht="15.75" x14ac:dyDescent="0.25">
      <c r="A19" s="196">
        <v>4</v>
      </c>
      <c r="B19" s="6">
        <f t="shared" ca="1" si="0"/>
        <v>45945</v>
      </c>
      <c r="C19" s="2">
        <v>14</v>
      </c>
      <c r="D19" s="6" t="s">
        <v>112</v>
      </c>
      <c r="E19" s="5" t="s">
        <v>10</v>
      </c>
      <c r="F19" s="197"/>
    </row>
    <row r="20" spans="1:6" ht="15.75" x14ac:dyDescent="0.25">
      <c r="A20" s="196">
        <v>5</v>
      </c>
      <c r="B20" s="6">
        <f t="shared" ca="1" si="0"/>
        <v>45945</v>
      </c>
      <c r="C20" s="2">
        <v>14</v>
      </c>
      <c r="D20" s="6" t="s">
        <v>112</v>
      </c>
      <c r="E20" s="5" t="s">
        <v>10</v>
      </c>
      <c r="F20" s="197"/>
    </row>
    <row r="21" spans="1:6" ht="15.75" x14ac:dyDescent="0.25">
      <c r="A21" s="196">
        <v>6</v>
      </c>
      <c r="B21" s="6">
        <f t="shared" ca="1" si="0"/>
        <v>45945</v>
      </c>
      <c r="C21" s="2">
        <v>14</v>
      </c>
      <c r="D21" s="6" t="s">
        <v>112</v>
      </c>
      <c r="E21" s="5" t="s">
        <v>10</v>
      </c>
      <c r="F21" s="197"/>
    </row>
    <row r="22" spans="1:6" ht="15.75" x14ac:dyDescent="0.25">
      <c r="A22" s="196">
        <v>7</v>
      </c>
      <c r="B22" s="6">
        <f t="shared" ca="1" si="0"/>
        <v>45945</v>
      </c>
      <c r="C22" s="2">
        <v>14</v>
      </c>
      <c r="D22" s="6" t="s">
        <v>112</v>
      </c>
      <c r="E22" s="5" t="s">
        <v>10</v>
      </c>
      <c r="F22" s="197"/>
    </row>
    <row r="23" spans="1:6" ht="15.75" x14ac:dyDescent="0.25">
      <c r="A23" s="196">
        <v>8</v>
      </c>
      <c r="B23" s="6">
        <f t="shared" ca="1" si="0"/>
        <v>45945</v>
      </c>
      <c r="C23" s="2">
        <v>14</v>
      </c>
      <c r="D23" s="6" t="s">
        <v>112</v>
      </c>
      <c r="E23" s="5" t="s">
        <v>10</v>
      </c>
      <c r="F23" s="197"/>
    </row>
    <row r="24" spans="1:6" ht="15.75" x14ac:dyDescent="0.25">
      <c r="A24" s="196">
        <v>9</v>
      </c>
      <c r="B24" s="6">
        <f t="shared" ca="1" si="0"/>
        <v>45945</v>
      </c>
      <c r="C24" s="2">
        <v>14</v>
      </c>
      <c r="D24" s="6" t="s">
        <v>112</v>
      </c>
      <c r="E24" s="5" t="s">
        <v>10</v>
      </c>
      <c r="F24" s="197"/>
    </row>
    <row r="25" spans="1:6" ht="15.75" x14ac:dyDescent="0.25">
      <c r="A25" s="196">
        <v>10</v>
      </c>
      <c r="B25" s="6">
        <f t="shared" ca="1" si="0"/>
        <v>45945</v>
      </c>
      <c r="C25" s="2">
        <v>14</v>
      </c>
      <c r="D25" s="6" t="s">
        <v>112</v>
      </c>
      <c r="E25" s="5" t="s">
        <v>10</v>
      </c>
      <c r="F25" s="197"/>
    </row>
    <row r="26" spans="1:6" ht="15.75" x14ac:dyDescent="0.25">
      <c r="A26" s="196">
        <v>11</v>
      </c>
      <c r="B26" s="6">
        <f t="shared" ca="1" si="0"/>
        <v>45945</v>
      </c>
      <c r="C26" s="2">
        <v>14</v>
      </c>
      <c r="D26" s="6" t="s">
        <v>112</v>
      </c>
      <c r="E26" s="5" t="s">
        <v>10</v>
      </c>
      <c r="F26" s="197"/>
    </row>
    <row r="27" spans="1:6" ht="15.75" x14ac:dyDescent="0.25">
      <c r="A27" s="196">
        <v>12</v>
      </c>
      <c r="B27" s="6">
        <f t="shared" ca="1" si="0"/>
        <v>45945</v>
      </c>
      <c r="C27" s="2">
        <v>14</v>
      </c>
      <c r="D27" s="6" t="s">
        <v>112</v>
      </c>
      <c r="E27" s="5" t="s">
        <v>10</v>
      </c>
      <c r="F27" s="197"/>
    </row>
    <row r="28" spans="1:6" ht="15.75" x14ac:dyDescent="0.25">
      <c r="A28" s="196">
        <v>13</v>
      </c>
      <c r="B28" s="6">
        <f t="shared" ca="1" si="0"/>
        <v>45945</v>
      </c>
      <c r="C28" s="2">
        <v>14</v>
      </c>
      <c r="D28" s="6" t="s">
        <v>112</v>
      </c>
      <c r="E28" s="5" t="s">
        <v>10</v>
      </c>
      <c r="F28" s="197"/>
    </row>
    <row r="29" spans="1:6" ht="15.75" x14ac:dyDescent="0.25">
      <c r="A29" s="196">
        <v>14</v>
      </c>
      <c r="B29" s="6">
        <f t="shared" ca="1" si="0"/>
        <v>45945</v>
      </c>
      <c r="C29" s="2">
        <v>14</v>
      </c>
      <c r="D29" s="6" t="s">
        <v>112</v>
      </c>
      <c r="E29" s="5" t="s">
        <v>10</v>
      </c>
      <c r="F29" s="197"/>
    </row>
    <row r="30" spans="1:6" ht="15.75" x14ac:dyDescent="0.25">
      <c r="A30" s="196">
        <v>15</v>
      </c>
      <c r="B30" s="6">
        <f t="shared" ca="1" si="0"/>
        <v>45945</v>
      </c>
      <c r="C30" s="2">
        <v>14</v>
      </c>
      <c r="D30" s="6" t="s">
        <v>112</v>
      </c>
      <c r="E30" s="5" t="s">
        <v>10</v>
      </c>
      <c r="F30" s="197"/>
    </row>
    <row r="31" spans="1:6" ht="15.75" x14ac:dyDescent="0.25">
      <c r="A31" s="196">
        <v>16</v>
      </c>
      <c r="B31" s="6">
        <f t="shared" ca="1" si="0"/>
        <v>45945</v>
      </c>
      <c r="C31" s="2">
        <v>14</v>
      </c>
      <c r="D31" s="6" t="s">
        <v>112</v>
      </c>
      <c r="E31" s="5" t="s">
        <v>10</v>
      </c>
      <c r="F31" s="197"/>
    </row>
    <row r="32" spans="1:6" ht="15.75" x14ac:dyDescent="0.25">
      <c r="A32" s="196">
        <v>17</v>
      </c>
      <c r="B32" s="6">
        <f t="shared" ca="1" si="0"/>
        <v>45945</v>
      </c>
      <c r="C32" s="2">
        <v>14</v>
      </c>
      <c r="D32" s="6" t="s">
        <v>112</v>
      </c>
      <c r="E32" s="5" t="s">
        <v>10</v>
      </c>
      <c r="F32" s="197"/>
    </row>
    <row r="33" spans="1:6" ht="15.75" x14ac:dyDescent="0.25">
      <c r="A33" s="196">
        <v>18</v>
      </c>
      <c r="B33" s="6">
        <f t="shared" ca="1" si="0"/>
        <v>45945</v>
      </c>
      <c r="C33" s="2">
        <v>14</v>
      </c>
      <c r="D33" s="6" t="s">
        <v>112</v>
      </c>
      <c r="E33" s="5" t="s">
        <v>10</v>
      </c>
      <c r="F33" s="197"/>
    </row>
    <row r="34" spans="1:6" ht="15.75" x14ac:dyDescent="0.25">
      <c r="A34" s="196">
        <v>19</v>
      </c>
      <c r="B34" s="6">
        <f t="shared" ca="1" si="0"/>
        <v>45945</v>
      </c>
      <c r="C34" s="2">
        <v>14</v>
      </c>
      <c r="D34" s="6" t="s">
        <v>112</v>
      </c>
      <c r="E34" s="5" t="s">
        <v>10</v>
      </c>
      <c r="F34" s="197"/>
    </row>
    <row r="35" spans="1:6" ht="15.75" x14ac:dyDescent="0.25">
      <c r="A35" s="196">
        <v>20</v>
      </c>
      <c r="B35" s="6">
        <f t="shared" ca="1" si="0"/>
        <v>45945</v>
      </c>
      <c r="C35" s="2">
        <v>14</v>
      </c>
      <c r="D35" s="6" t="s">
        <v>112</v>
      </c>
      <c r="E35" s="5" t="s">
        <v>10</v>
      </c>
      <c r="F35" s="197"/>
    </row>
    <row r="36" spans="1:6" ht="15.75" x14ac:dyDescent="0.25">
      <c r="A36" s="196">
        <v>21</v>
      </c>
      <c r="B36" s="6">
        <f t="shared" ca="1" si="0"/>
        <v>45945</v>
      </c>
      <c r="C36" s="2">
        <v>14</v>
      </c>
      <c r="D36" s="6" t="s">
        <v>112</v>
      </c>
      <c r="E36" s="5" t="s">
        <v>10</v>
      </c>
      <c r="F36" s="197"/>
    </row>
    <row r="37" spans="1:6" ht="15.75" x14ac:dyDescent="0.25">
      <c r="A37" s="196">
        <v>22</v>
      </c>
      <c r="B37" s="6">
        <f t="shared" ca="1" si="0"/>
        <v>45945</v>
      </c>
      <c r="C37" s="2">
        <v>14</v>
      </c>
      <c r="D37" s="6" t="s">
        <v>112</v>
      </c>
      <c r="E37" s="5" t="s">
        <v>10</v>
      </c>
      <c r="F37" s="197"/>
    </row>
    <row r="38" spans="1:6" ht="15.75" x14ac:dyDescent="0.25">
      <c r="A38" s="196">
        <v>23</v>
      </c>
      <c r="B38" s="6">
        <f t="shared" ca="1" si="0"/>
        <v>45945</v>
      </c>
      <c r="C38" s="2">
        <v>14</v>
      </c>
      <c r="D38" s="6" t="s">
        <v>112</v>
      </c>
      <c r="E38" s="5" t="s">
        <v>10</v>
      </c>
      <c r="F38" s="197"/>
    </row>
    <row r="39" spans="1:6" x14ac:dyDescent="0.25">
      <c r="A39" s="215"/>
      <c r="F39" s="213"/>
    </row>
    <row r="40" spans="1:6" ht="15.75" x14ac:dyDescent="0.25">
      <c r="A40" s="160" t="s">
        <v>58</v>
      </c>
      <c r="B40" s="1" t="s">
        <v>112</v>
      </c>
      <c r="C40" s="1" t="s">
        <v>11</v>
      </c>
      <c r="D40" s="1" t="s">
        <v>200</v>
      </c>
      <c r="E40" s="1" t="s">
        <v>6</v>
      </c>
      <c r="F40" s="195" t="s">
        <v>7</v>
      </c>
    </row>
    <row r="41" spans="1:6" ht="15.75" x14ac:dyDescent="0.25">
      <c r="A41" s="196" t="s">
        <v>577</v>
      </c>
      <c r="B41" s="3">
        <f ca="1">TODAY()</f>
        <v>45945</v>
      </c>
      <c r="C41" s="2">
        <v>14</v>
      </c>
      <c r="D41" s="6" t="s">
        <v>112</v>
      </c>
      <c r="E41" s="5" t="s">
        <v>55</v>
      </c>
      <c r="F41" s="199" t="s">
        <v>118</v>
      </c>
    </row>
    <row r="42" spans="1:6" ht="16.5" thickBot="1" x14ac:dyDescent="0.3">
      <c r="A42" s="200" t="s">
        <v>578</v>
      </c>
      <c r="B42" s="201">
        <f ca="1">TODAY()</f>
        <v>45945</v>
      </c>
      <c r="C42" s="202">
        <v>14</v>
      </c>
      <c r="D42" s="203" t="s">
        <v>112</v>
      </c>
      <c r="E42" s="204" t="s">
        <v>55</v>
      </c>
      <c r="F42" s="205" t="s">
        <v>120</v>
      </c>
    </row>
  </sheetData>
  <mergeCells count="2">
    <mergeCell ref="A9:F9"/>
    <mergeCell ref="A14:F14"/>
  </mergeCells>
  <dataValidations count="2">
    <dataValidation type="list" allowBlank="1" showInputMessage="1" showErrorMessage="1" sqref="E16:E38 E41:E42" xr:uid="{5D3284E5-8097-4F44-B8CF-58AF7A753B19}">
      <formula1>"Untrained, In Progress, Retrain, Trained,Proficient"</formula1>
    </dataValidation>
    <dataValidation type="list" allowBlank="1" showInputMessage="1" showErrorMessage="1" sqref="B6:B7" xr:uid="{4DD79C54-FB8D-47DF-A598-61207E34EA05}">
      <formula1>"Yes,No"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0711-F6CC-4C6E-B779-62CC6E5A0BE8}">
  <dimension ref="A1:S149"/>
  <sheetViews>
    <sheetView zoomScale="145" zoomScaleNormal="145" workbookViewId="0">
      <selection activeCell="B5" sqref="B5"/>
    </sheetView>
  </sheetViews>
  <sheetFormatPr defaultRowHeight="15" x14ac:dyDescent="0.25"/>
  <cols>
    <col min="1" max="1" width="36" bestFit="1" customWidth="1"/>
    <col min="2" max="2" width="26.5703125" bestFit="1" customWidth="1"/>
    <col min="3" max="3" width="17" bestFit="1" customWidth="1"/>
    <col min="4" max="4" width="20.42578125" bestFit="1" customWidth="1"/>
    <col min="5" max="5" width="9.85546875" bestFit="1" customWidth="1"/>
    <col min="6" max="6" width="52.85546875" bestFit="1" customWidth="1"/>
    <col min="7" max="19" width="8.7109375" style="104"/>
  </cols>
  <sheetData>
    <row r="1" spans="1:7" ht="15.75" x14ac:dyDescent="0.25">
      <c r="A1" s="181" t="s">
        <v>69</v>
      </c>
      <c r="B1" s="182"/>
      <c r="C1" s="183" t="s">
        <v>87</v>
      </c>
      <c r="D1" s="184">
        <f ca="1">TODAY()</f>
        <v>45945</v>
      </c>
      <c r="E1" s="185"/>
      <c r="F1" s="186"/>
    </row>
    <row r="2" spans="1:7" ht="21" x14ac:dyDescent="0.35">
      <c r="A2" s="187" t="s">
        <v>78</v>
      </c>
      <c r="B2" s="122" t="s">
        <v>84</v>
      </c>
      <c r="C2" s="17" t="s">
        <v>5</v>
      </c>
      <c r="D2" s="10">
        <f ca="1">SUM(D3-(TODAY()))</f>
        <v>-1018</v>
      </c>
      <c r="E2" s="4"/>
      <c r="F2" s="188"/>
    </row>
    <row r="3" spans="1:7" ht="21" x14ac:dyDescent="0.35">
      <c r="A3" s="189" t="s">
        <v>70</v>
      </c>
      <c r="B3" s="122" t="s">
        <v>85</v>
      </c>
      <c r="C3" s="17" t="s">
        <v>12</v>
      </c>
      <c r="D3" s="6">
        <f>VLOOKUP(B3,Target,4,0)</f>
        <v>44927</v>
      </c>
      <c r="E3" s="4"/>
      <c r="F3" s="188"/>
    </row>
    <row r="4" spans="1:7" ht="15.75" x14ac:dyDescent="0.25">
      <c r="A4" s="190"/>
      <c r="B4" s="191"/>
      <c r="C4" s="4"/>
      <c r="D4" s="4"/>
      <c r="E4" s="4"/>
      <c r="F4" s="188"/>
    </row>
    <row r="5" spans="1:7" s="25" customFormat="1" ht="21" x14ac:dyDescent="0.35">
      <c r="A5" s="192" t="s">
        <v>631</v>
      </c>
      <c r="B5" s="31" t="s">
        <v>595</v>
      </c>
      <c r="C5" s="91"/>
      <c r="D5" s="91"/>
      <c r="E5" s="91"/>
      <c r="F5" s="159"/>
      <c r="G5" s="91"/>
    </row>
    <row r="6" spans="1:7" s="25" customFormat="1" ht="15.75" x14ac:dyDescent="0.25">
      <c r="A6" s="160" t="s">
        <v>35</v>
      </c>
      <c r="B6" s="31"/>
      <c r="C6" s="91"/>
      <c r="D6" s="91"/>
      <c r="E6" s="91"/>
      <c r="F6" s="159"/>
      <c r="G6" s="91"/>
    </row>
    <row r="7" spans="1:7" s="25" customFormat="1" ht="15.75" x14ac:dyDescent="0.25">
      <c r="A7" s="161" t="s">
        <v>622</v>
      </c>
      <c r="B7" s="31"/>
      <c r="C7" s="91"/>
      <c r="D7" s="91"/>
      <c r="E7" s="91"/>
      <c r="F7" s="159"/>
      <c r="G7" s="91"/>
    </row>
    <row r="8" spans="1:7" ht="15.75" x14ac:dyDescent="0.25">
      <c r="A8" s="190"/>
      <c r="B8" s="191"/>
      <c r="C8" s="4"/>
      <c r="D8" s="4"/>
      <c r="E8" s="4"/>
      <c r="F8" s="188"/>
    </row>
    <row r="9" spans="1:7" s="25" customFormat="1" ht="15.75" x14ac:dyDescent="0.25">
      <c r="A9" s="302" t="s">
        <v>348</v>
      </c>
      <c r="B9" s="267"/>
      <c r="C9" s="267"/>
      <c r="D9" s="267"/>
      <c r="E9" s="267"/>
      <c r="F9" s="303"/>
    </row>
    <row r="10" spans="1:7" s="25" customFormat="1" ht="15.75" x14ac:dyDescent="0.25">
      <c r="A10" s="160"/>
      <c r="B10" s="26" t="s">
        <v>112</v>
      </c>
      <c r="C10" s="26" t="s">
        <v>11</v>
      </c>
      <c r="D10" s="26" t="s">
        <v>200</v>
      </c>
      <c r="E10" s="26" t="s">
        <v>6</v>
      </c>
      <c r="F10" s="166" t="s">
        <v>585</v>
      </c>
    </row>
    <row r="11" spans="1:7" s="25" customFormat="1" ht="15.75" x14ac:dyDescent="0.25">
      <c r="A11" s="156"/>
      <c r="B11" s="101"/>
      <c r="C11" s="101"/>
      <c r="D11" s="101"/>
      <c r="E11" s="101"/>
      <c r="F11" s="198"/>
    </row>
    <row r="12" spans="1:7" s="25" customFormat="1" ht="15.75" x14ac:dyDescent="0.25">
      <c r="A12" s="156"/>
      <c r="B12" s="101"/>
      <c r="C12" s="101"/>
      <c r="D12" s="101"/>
      <c r="E12" s="101"/>
      <c r="F12" s="198"/>
      <c r="G12" s="92"/>
    </row>
    <row r="13" spans="1:7" ht="15.75" x14ac:dyDescent="0.25">
      <c r="A13" s="190"/>
      <c r="B13" s="191"/>
      <c r="C13" s="4"/>
      <c r="D13" s="4"/>
      <c r="E13" s="4"/>
      <c r="F13" s="188"/>
    </row>
    <row r="14" spans="1:7" ht="15.75" x14ac:dyDescent="0.25">
      <c r="A14" s="302" t="s">
        <v>0</v>
      </c>
      <c r="B14" s="267"/>
      <c r="C14" s="267"/>
      <c r="D14" s="267"/>
      <c r="E14" s="267"/>
      <c r="F14" s="303"/>
    </row>
    <row r="15" spans="1:7" ht="15.75" x14ac:dyDescent="0.25">
      <c r="A15" s="160" t="s">
        <v>35</v>
      </c>
      <c r="B15" s="1" t="s">
        <v>112</v>
      </c>
      <c r="C15" s="1" t="s">
        <v>11</v>
      </c>
      <c r="D15" s="1" t="s">
        <v>200</v>
      </c>
      <c r="E15" s="1" t="s">
        <v>6</v>
      </c>
      <c r="F15" s="195" t="s">
        <v>7</v>
      </c>
    </row>
    <row r="16" spans="1:7" ht="15.75" x14ac:dyDescent="0.25">
      <c r="A16" s="196">
        <v>1</v>
      </c>
      <c r="B16" s="6">
        <f t="shared" ref="B16:B28" ca="1" si="0">TODAY()</f>
        <v>45945</v>
      </c>
      <c r="C16" s="2">
        <v>14</v>
      </c>
      <c r="D16" s="6" t="s">
        <v>112</v>
      </c>
      <c r="E16" s="5" t="s">
        <v>10</v>
      </c>
      <c r="F16" s="197"/>
    </row>
    <row r="17" spans="1:6" ht="15.75" x14ac:dyDescent="0.25">
      <c r="A17" s="196">
        <v>2</v>
      </c>
      <c r="B17" s="6">
        <f t="shared" ca="1" si="0"/>
        <v>45945</v>
      </c>
      <c r="C17" s="2">
        <v>14</v>
      </c>
      <c r="D17" s="6" t="s">
        <v>112</v>
      </c>
      <c r="E17" s="5" t="s">
        <v>10</v>
      </c>
      <c r="F17" s="197"/>
    </row>
    <row r="18" spans="1:6" ht="15.75" x14ac:dyDescent="0.25">
      <c r="A18" s="196">
        <v>3</v>
      </c>
      <c r="B18" s="6">
        <f t="shared" ca="1" si="0"/>
        <v>45945</v>
      </c>
      <c r="C18" s="2">
        <v>14</v>
      </c>
      <c r="D18" s="6" t="s">
        <v>112</v>
      </c>
      <c r="E18" s="5" t="s">
        <v>10</v>
      </c>
      <c r="F18" s="197"/>
    </row>
    <row r="19" spans="1:6" ht="15.75" x14ac:dyDescent="0.25">
      <c r="A19" s="196">
        <v>4</v>
      </c>
      <c r="B19" s="6">
        <f t="shared" ca="1" si="0"/>
        <v>45945</v>
      </c>
      <c r="C19" s="2">
        <v>14</v>
      </c>
      <c r="D19" s="6" t="s">
        <v>112</v>
      </c>
      <c r="E19" s="5" t="s">
        <v>10</v>
      </c>
      <c r="F19" s="197"/>
    </row>
    <row r="20" spans="1:6" ht="15.75" x14ac:dyDescent="0.25">
      <c r="A20" s="196">
        <v>5</v>
      </c>
      <c r="B20" s="6">
        <f t="shared" ca="1" si="0"/>
        <v>45945</v>
      </c>
      <c r="C20" s="2">
        <v>14</v>
      </c>
      <c r="D20" s="6" t="s">
        <v>112</v>
      </c>
      <c r="E20" s="5" t="s">
        <v>10</v>
      </c>
      <c r="F20" s="197"/>
    </row>
    <row r="21" spans="1:6" ht="15.75" x14ac:dyDescent="0.25">
      <c r="A21" s="196">
        <v>6</v>
      </c>
      <c r="B21" s="6">
        <f t="shared" ca="1" si="0"/>
        <v>45945</v>
      </c>
      <c r="C21" s="2">
        <v>14</v>
      </c>
      <c r="D21" s="6" t="s">
        <v>112</v>
      </c>
      <c r="E21" s="5" t="s">
        <v>10</v>
      </c>
      <c r="F21" s="197"/>
    </row>
    <row r="22" spans="1:6" ht="15.75" x14ac:dyDescent="0.25">
      <c r="A22" s="196">
        <v>7</v>
      </c>
      <c r="B22" s="6">
        <f t="shared" ca="1" si="0"/>
        <v>45945</v>
      </c>
      <c r="C22" s="2">
        <v>14</v>
      </c>
      <c r="D22" s="6" t="s">
        <v>112</v>
      </c>
      <c r="E22" s="5" t="s">
        <v>10</v>
      </c>
      <c r="F22" s="197"/>
    </row>
    <row r="23" spans="1:6" ht="15.75" x14ac:dyDescent="0.25">
      <c r="A23" s="196">
        <v>8</v>
      </c>
      <c r="B23" s="6">
        <f t="shared" ca="1" si="0"/>
        <v>45945</v>
      </c>
      <c r="C23" s="2">
        <v>14</v>
      </c>
      <c r="D23" s="6" t="s">
        <v>112</v>
      </c>
      <c r="E23" s="5" t="s">
        <v>10</v>
      </c>
      <c r="F23" s="197"/>
    </row>
    <row r="24" spans="1:6" ht="15.75" x14ac:dyDescent="0.25">
      <c r="A24" s="196">
        <v>9</v>
      </c>
      <c r="B24" s="6">
        <f t="shared" ca="1" si="0"/>
        <v>45945</v>
      </c>
      <c r="C24" s="2">
        <v>14</v>
      </c>
      <c r="D24" s="6" t="s">
        <v>112</v>
      </c>
      <c r="E24" s="5" t="s">
        <v>10</v>
      </c>
      <c r="F24" s="197"/>
    </row>
    <row r="25" spans="1:6" ht="15.75" x14ac:dyDescent="0.25">
      <c r="A25" s="196">
        <v>10</v>
      </c>
      <c r="B25" s="6">
        <f t="shared" ca="1" si="0"/>
        <v>45945</v>
      </c>
      <c r="C25" s="2">
        <v>14</v>
      </c>
      <c r="D25" s="6" t="s">
        <v>112</v>
      </c>
      <c r="E25" s="5" t="s">
        <v>10</v>
      </c>
      <c r="F25" s="197"/>
    </row>
    <row r="26" spans="1:6" ht="15.75" x14ac:dyDescent="0.25">
      <c r="A26" s="196">
        <v>11</v>
      </c>
      <c r="B26" s="6">
        <f t="shared" ca="1" si="0"/>
        <v>45945</v>
      </c>
      <c r="C26" s="2">
        <v>14</v>
      </c>
      <c r="D26" s="6" t="s">
        <v>112</v>
      </c>
      <c r="E26" s="5" t="s">
        <v>10</v>
      </c>
      <c r="F26" s="197"/>
    </row>
    <row r="27" spans="1:6" ht="15.75" x14ac:dyDescent="0.25">
      <c r="A27" s="196">
        <v>12</v>
      </c>
      <c r="B27" s="6">
        <f t="shared" ca="1" si="0"/>
        <v>45945</v>
      </c>
      <c r="C27" s="2">
        <v>14</v>
      </c>
      <c r="D27" s="6" t="s">
        <v>112</v>
      </c>
      <c r="E27" s="5" t="s">
        <v>10</v>
      </c>
      <c r="F27" s="197"/>
    </row>
    <row r="28" spans="1:6" ht="15.75" x14ac:dyDescent="0.25">
      <c r="A28" s="196">
        <v>13</v>
      </c>
      <c r="B28" s="6">
        <f t="shared" ca="1" si="0"/>
        <v>45945</v>
      </c>
      <c r="C28" s="2">
        <v>14</v>
      </c>
      <c r="D28" s="6" t="s">
        <v>112</v>
      </c>
      <c r="E28" s="5" t="s">
        <v>10</v>
      </c>
      <c r="F28" s="197"/>
    </row>
    <row r="29" spans="1:6" x14ac:dyDescent="0.25">
      <c r="A29" s="215"/>
      <c r="F29" s="213"/>
    </row>
    <row r="30" spans="1:6" ht="15.75" x14ac:dyDescent="0.25">
      <c r="A30" s="160" t="s">
        <v>58</v>
      </c>
      <c r="B30" s="1" t="s">
        <v>112</v>
      </c>
      <c r="C30" s="1" t="s">
        <v>11</v>
      </c>
      <c r="D30" s="1" t="s">
        <v>200</v>
      </c>
      <c r="E30" s="1" t="s">
        <v>6</v>
      </c>
      <c r="F30" s="195" t="s">
        <v>7</v>
      </c>
    </row>
    <row r="31" spans="1:6" ht="15.75" x14ac:dyDescent="0.25">
      <c r="A31" s="196" t="s">
        <v>579</v>
      </c>
      <c r="B31" s="3"/>
      <c r="C31" s="2"/>
      <c r="D31" s="6"/>
      <c r="E31" s="5"/>
      <c r="F31" s="199"/>
    </row>
    <row r="32" spans="1:6" ht="15.75" x14ac:dyDescent="0.25">
      <c r="A32" s="196" t="s">
        <v>580</v>
      </c>
      <c r="B32" s="3">
        <f ca="1">TODAY()</f>
        <v>45945</v>
      </c>
      <c r="C32" s="2">
        <v>14</v>
      </c>
      <c r="D32" s="6" t="s">
        <v>112</v>
      </c>
      <c r="E32" s="5" t="s">
        <v>55</v>
      </c>
      <c r="F32" s="199" t="s">
        <v>625</v>
      </c>
    </row>
    <row r="33" spans="1:6" ht="16.5" thickBot="1" x14ac:dyDescent="0.3">
      <c r="A33" s="200" t="s">
        <v>581</v>
      </c>
      <c r="B33" s="201">
        <f ca="1">TODAY()</f>
        <v>45945</v>
      </c>
      <c r="C33" s="202">
        <v>14</v>
      </c>
      <c r="D33" s="203" t="s">
        <v>112</v>
      </c>
      <c r="E33" s="204" t="s">
        <v>55</v>
      </c>
      <c r="F33" s="205" t="s">
        <v>626</v>
      </c>
    </row>
    <row r="34" spans="1:6" s="104" customFormat="1" x14ac:dyDescent="0.25"/>
    <row r="35" spans="1:6" s="104" customFormat="1" x14ac:dyDescent="0.25"/>
    <row r="36" spans="1:6" s="104" customFormat="1" x14ac:dyDescent="0.25"/>
    <row r="37" spans="1:6" s="104" customFormat="1" x14ac:dyDescent="0.25"/>
    <row r="38" spans="1:6" s="104" customFormat="1" x14ac:dyDescent="0.25"/>
    <row r="39" spans="1:6" s="104" customFormat="1" x14ac:dyDescent="0.25"/>
    <row r="40" spans="1:6" s="104" customFormat="1" x14ac:dyDescent="0.25"/>
    <row r="41" spans="1:6" s="104" customFormat="1" x14ac:dyDescent="0.25"/>
    <row r="42" spans="1:6" s="104" customFormat="1" x14ac:dyDescent="0.25"/>
    <row r="43" spans="1:6" s="104" customFormat="1" x14ac:dyDescent="0.25"/>
    <row r="44" spans="1:6" s="104" customFormat="1" x14ac:dyDescent="0.25"/>
    <row r="45" spans="1:6" s="104" customFormat="1" x14ac:dyDescent="0.25"/>
    <row r="46" spans="1:6" s="104" customFormat="1" x14ac:dyDescent="0.25"/>
    <row r="47" spans="1:6" s="104" customFormat="1" x14ac:dyDescent="0.25"/>
    <row r="48" spans="1:6" s="104" customFormat="1" x14ac:dyDescent="0.25"/>
    <row r="49" s="104" customFormat="1" x14ac:dyDescent="0.25"/>
    <row r="50" s="104" customFormat="1" x14ac:dyDescent="0.25"/>
    <row r="51" s="104" customFormat="1" x14ac:dyDescent="0.25"/>
    <row r="52" s="104" customFormat="1" x14ac:dyDescent="0.25"/>
    <row r="53" s="104" customFormat="1" x14ac:dyDescent="0.25"/>
    <row r="54" s="104" customFormat="1" x14ac:dyDescent="0.25"/>
    <row r="55" s="104" customFormat="1" x14ac:dyDescent="0.25"/>
    <row r="56" s="104" customFormat="1" x14ac:dyDescent="0.25"/>
    <row r="57" s="104" customFormat="1" x14ac:dyDescent="0.25"/>
    <row r="58" s="104" customFormat="1" x14ac:dyDescent="0.25"/>
    <row r="59" s="104" customFormat="1" x14ac:dyDescent="0.25"/>
    <row r="60" s="104" customFormat="1" x14ac:dyDescent="0.25"/>
    <row r="61" s="104" customFormat="1" x14ac:dyDescent="0.25"/>
    <row r="62" s="104" customFormat="1" x14ac:dyDescent="0.25"/>
    <row r="63" s="104" customFormat="1" x14ac:dyDescent="0.25"/>
    <row r="64" s="104" customFormat="1" x14ac:dyDescent="0.25"/>
    <row r="65" s="104" customFormat="1" x14ac:dyDescent="0.25"/>
    <row r="66" s="104" customFormat="1" x14ac:dyDescent="0.25"/>
    <row r="67" s="104" customFormat="1" x14ac:dyDescent="0.25"/>
    <row r="68" s="104" customFormat="1" x14ac:dyDescent="0.25"/>
    <row r="69" s="104" customFormat="1" x14ac:dyDescent="0.25"/>
    <row r="70" s="104" customFormat="1" x14ac:dyDescent="0.25"/>
    <row r="71" s="104" customFormat="1" x14ac:dyDescent="0.25"/>
    <row r="72" s="104" customFormat="1" x14ac:dyDescent="0.25"/>
    <row r="73" s="104" customFormat="1" x14ac:dyDescent="0.25"/>
    <row r="74" s="104" customFormat="1" x14ac:dyDescent="0.25"/>
    <row r="75" s="104" customFormat="1" x14ac:dyDescent="0.25"/>
    <row r="76" s="104" customFormat="1" x14ac:dyDescent="0.25"/>
    <row r="77" s="104" customFormat="1" x14ac:dyDescent="0.25"/>
    <row r="78" s="104" customFormat="1" x14ac:dyDescent="0.25"/>
    <row r="79" s="104" customFormat="1" x14ac:dyDescent="0.25"/>
    <row r="80" s="104" customFormat="1" x14ac:dyDescent="0.25"/>
    <row r="81" s="104" customFormat="1" x14ac:dyDescent="0.25"/>
    <row r="82" s="104" customFormat="1" x14ac:dyDescent="0.25"/>
    <row r="83" s="104" customFormat="1" x14ac:dyDescent="0.25"/>
    <row r="84" s="104" customFormat="1" x14ac:dyDescent="0.25"/>
    <row r="85" s="104" customFormat="1" x14ac:dyDescent="0.25"/>
    <row r="86" s="104" customFormat="1" x14ac:dyDescent="0.25"/>
    <row r="87" s="104" customFormat="1" x14ac:dyDescent="0.25"/>
    <row r="88" s="104" customFormat="1" x14ac:dyDescent="0.25"/>
    <row r="89" s="104" customFormat="1" x14ac:dyDescent="0.25"/>
    <row r="90" s="104" customFormat="1" x14ac:dyDescent="0.25"/>
    <row r="91" s="104" customFormat="1" x14ac:dyDescent="0.25"/>
    <row r="92" s="104" customFormat="1" x14ac:dyDescent="0.25"/>
    <row r="93" s="104" customFormat="1" x14ac:dyDescent="0.25"/>
    <row r="94" s="104" customFormat="1" x14ac:dyDescent="0.25"/>
    <row r="95" s="104" customFormat="1" x14ac:dyDescent="0.25"/>
    <row r="96" s="104" customFormat="1" x14ac:dyDescent="0.25"/>
    <row r="97" s="104" customFormat="1" x14ac:dyDescent="0.25"/>
    <row r="98" s="104" customFormat="1" x14ac:dyDescent="0.25"/>
    <row r="99" s="104" customFormat="1" x14ac:dyDescent="0.25"/>
    <row r="100" s="104" customFormat="1" x14ac:dyDescent="0.25"/>
    <row r="101" s="104" customFormat="1" x14ac:dyDescent="0.25"/>
    <row r="102" s="104" customFormat="1" x14ac:dyDescent="0.25"/>
    <row r="103" s="104" customFormat="1" x14ac:dyDescent="0.25"/>
    <row r="104" s="104" customFormat="1" x14ac:dyDescent="0.25"/>
    <row r="105" s="104" customFormat="1" x14ac:dyDescent="0.25"/>
    <row r="106" s="104" customFormat="1" x14ac:dyDescent="0.25"/>
    <row r="107" s="104" customFormat="1" x14ac:dyDescent="0.25"/>
    <row r="108" s="104" customFormat="1" x14ac:dyDescent="0.25"/>
    <row r="109" s="104" customFormat="1" x14ac:dyDescent="0.25"/>
    <row r="110" s="104" customFormat="1" x14ac:dyDescent="0.25"/>
    <row r="111" s="104" customFormat="1" x14ac:dyDescent="0.25"/>
    <row r="112" s="104" customFormat="1" x14ac:dyDescent="0.25"/>
    <row r="113" s="104" customFormat="1" x14ac:dyDescent="0.25"/>
    <row r="114" s="104" customFormat="1" x14ac:dyDescent="0.25"/>
    <row r="115" s="104" customFormat="1" x14ac:dyDescent="0.25"/>
    <row r="116" s="104" customFormat="1" x14ac:dyDescent="0.25"/>
    <row r="117" s="104" customFormat="1" x14ac:dyDescent="0.25"/>
    <row r="118" s="104" customFormat="1" x14ac:dyDescent="0.25"/>
    <row r="119" s="104" customFormat="1" x14ac:dyDescent="0.25"/>
    <row r="120" s="104" customFormat="1" x14ac:dyDescent="0.25"/>
    <row r="121" s="104" customFormat="1" x14ac:dyDescent="0.25"/>
    <row r="122" s="104" customFormat="1" x14ac:dyDescent="0.25"/>
    <row r="123" s="104" customFormat="1" x14ac:dyDescent="0.25"/>
    <row r="124" s="104" customFormat="1" x14ac:dyDescent="0.25"/>
    <row r="125" s="104" customFormat="1" x14ac:dyDescent="0.25"/>
    <row r="126" s="104" customFormat="1" x14ac:dyDescent="0.25"/>
    <row r="127" s="104" customFormat="1" x14ac:dyDescent="0.25"/>
    <row r="128" s="104" customFormat="1" x14ac:dyDescent="0.25"/>
    <row r="129" s="104" customFormat="1" x14ac:dyDescent="0.25"/>
    <row r="130" s="104" customFormat="1" x14ac:dyDescent="0.25"/>
    <row r="131" s="104" customFormat="1" x14ac:dyDescent="0.25"/>
    <row r="132" s="104" customFormat="1" x14ac:dyDescent="0.25"/>
    <row r="133" s="104" customFormat="1" x14ac:dyDescent="0.25"/>
    <row r="134" s="104" customFormat="1" x14ac:dyDescent="0.25"/>
    <row r="135" s="104" customFormat="1" x14ac:dyDescent="0.25"/>
    <row r="136" s="104" customFormat="1" x14ac:dyDescent="0.25"/>
    <row r="137" s="104" customFormat="1" x14ac:dyDescent="0.25"/>
    <row r="138" s="104" customFormat="1" x14ac:dyDescent="0.25"/>
    <row r="139" s="104" customFormat="1" x14ac:dyDescent="0.25"/>
    <row r="140" s="104" customFormat="1" x14ac:dyDescent="0.25"/>
    <row r="141" s="104" customFormat="1" x14ac:dyDescent="0.25"/>
    <row r="142" s="104" customFormat="1" x14ac:dyDescent="0.25"/>
    <row r="143" s="104" customFormat="1" x14ac:dyDescent="0.25"/>
    <row r="144" s="104" customFormat="1" x14ac:dyDescent="0.25"/>
    <row r="145" s="104" customFormat="1" x14ac:dyDescent="0.25"/>
    <row r="146" s="104" customFormat="1" x14ac:dyDescent="0.25"/>
    <row r="147" s="104" customFormat="1" x14ac:dyDescent="0.25"/>
    <row r="148" s="104" customFormat="1" x14ac:dyDescent="0.25"/>
    <row r="149" s="104" customFormat="1" x14ac:dyDescent="0.25"/>
  </sheetData>
  <mergeCells count="2">
    <mergeCell ref="A9:F9"/>
    <mergeCell ref="A14:F14"/>
  </mergeCells>
  <dataValidations count="2">
    <dataValidation type="list" allowBlank="1" showInputMessage="1" showErrorMessage="1" sqref="E16:E28 E32:E33" xr:uid="{330DDA3F-E93E-46B6-A48D-2375193CAD00}">
      <formula1>"Untrained, In Progress, Retrain, Trained,Proficient"</formula1>
    </dataValidation>
    <dataValidation type="list" allowBlank="1" showInputMessage="1" showErrorMessage="1" sqref="B6:B8" xr:uid="{9C176B71-272E-414B-ABEB-53E31D10B224}">
      <formula1>"Yes,No"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0E51-CF00-49AA-AF14-504BCD21EEB2}">
  <dimension ref="A1:W64"/>
  <sheetViews>
    <sheetView zoomScale="115" zoomScaleNormal="115" workbookViewId="0">
      <selection activeCell="B5" sqref="B5"/>
    </sheetView>
  </sheetViews>
  <sheetFormatPr defaultRowHeight="15" x14ac:dyDescent="0.25"/>
  <cols>
    <col min="1" max="1" width="34.5703125" bestFit="1" customWidth="1"/>
    <col min="2" max="2" width="18.28515625" bestFit="1" customWidth="1"/>
    <col min="3" max="3" width="17" bestFit="1" customWidth="1"/>
    <col min="4" max="4" width="17.5703125" bestFit="1" customWidth="1"/>
    <col min="5" max="5" width="9.140625" bestFit="1" customWidth="1"/>
    <col min="6" max="6" width="38.140625" bestFit="1" customWidth="1"/>
    <col min="7" max="23" width="8.7109375" style="104"/>
  </cols>
  <sheetData>
    <row r="1" spans="1:7" ht="15.75" x14ac:dyDescent="0.25">
      <c r="A1" s="181" t="s">
        <v>69</v>
      </c>
      <c r="B1" s="182"/>
      <c r="C1" s="183" t="s">
        <v>87</v>
      </c>
      <c r="D1" s="184">
        <f ca="1">TODAY()</f>
        <v>45945</v>
      </c>
      <c r="E1" s="185"/>
      <c r="F1" s="186"/>
    </row>
    <row r="2" spans="1:7" ht="15.75" x14ac:dyDescent="0.25">
      <c r="A2" s="187" t="s">
        <v>78</v>
      </c>
      <c r="B2" s="18" t="s">
        <v>85</v>
      </c>
      <c r="C2" s="17" t="s">
        <v>5</v>
      </c>
      <c r="D2" s="10">
        <f ca="1">SUM(D3-(TODAY()))</f>
        <v>-928</v>
      </c>
      <c r="E2" s="4"/>
      <c r="F2" s="188"/>
    </row>
    <row r="3" spans="1:7" ht="21" x14ac:dyDescent="0.35">
      <c r="A3" s="189" t="s">
        <v>70</v>
      </c>
      <c r="B3" s="122" t="s">
        <v>623</v>
      </c>
      <c r="C3" s="17" t="s">
        <v>12</v>
      </c>
      <c r="D3" s="6">
        <f>VLOOKUP(B3,Target,4,0)</f>
        <v>45017</v>
      </c>
      <c r="E3" s="4"/>
      <c r="F3" s="188"/>
    </row>
    <row r="4" spans="1:7" ht="15.75" x14ac:dyDescent="0.25">
      <c r="A4" s="190"/>
      <c r="B4" s="191"/>
      <c r="C4" s="4"/>
      <c r="D4" s="4"/>
      <c r="E4" s="4"/>
      <c r="F4" s="188"/>
    </row>
    <row r="5" spans="1:7" s="25" customFormat="1" ht="21" x14ac:dyDescent="0.35">
      <c r="A5" s="192" t="s">
        <v>632</v>
      </c>
      <c r="B5" s="31" t="s">
        <v>595</v>
      </c>
      <c r="C5" s="91"/>
      <c r="D5" s="91"/>
      <c r="E5" s="91"/>
      <c r="F5" s="159"/>
      <c r="G5" s="91"/>
    </row>
    <row r="6" spans="1:7" s="25" customFormat="1" ht="15.75" x14ac:dyDescent="0.25">
      <c r="A6" s="160" t="s">
        <v>35</v>
      </c>
      <c r="B6" s="31"/>
      <c r="C6" s="91"/>
      <c r="D6" s="91"/>
      <c r="E6" s="91"/>
      <c r="F6" s="159"/>
      <c r="G6" s="91"/>
    </row>
    <row r="7" spans="1:7" s="25" customFormat="1" ht="15.75" x14ac:dyDescent="0.25">
      <c r="A7" s="161" t="s">
        <v>622</v>
      </c>
      <c r="B7" s="31"/>
      <c r="C7" s="91"/>
      <c r="D7" s="91"/>
      <c r="E7" s="91"/>
      <c r="F7" s="159"/>
      <c r="G7" s="91"/>
    </row>
    <row r="8" spans="1:7" ht="15.75" x14ac:dyDescent="0.25">
      <c r="A8" s="190"/>
      <c r="B8" s="191"/>
      <c r="C8" s="4"/>
      <c r="D8" s="4"/>
      <c r="E8" s="4"/>
      <c r="F8" s="188"/>
    </row>
    <row r="9" spans="1:7" s="25" customFormat="1" ht="15.75" x14ac:dyDescent="0.25">
      <c r="A9" s="302" t="s">
        <v>348</v>
      </c>
      <c r="B9" s="267"/>
      <c r="C9" s="267"/>
      <c r="D9" s="267"/>
      <c r="E9" s="267"/>
      <c r="F9" s="303"/>
    </row>
    <row r="10" spans="1:7" s="25" customFormat="1" ht="15.75" x14ac:dyDescent="0.25">
      <c r="A10" s="160"/>
      <c r="B10" s="26" t="s">
        <v>112</v>
      </c>
      <c r="C10" s="26" t="s">
        <v>11</v>
      </c>
      <c r="D10" s="26" t="s">
        <v>200</v>
      </c>
      <c r="E10" s="26" t="s">
        <v>6</v>
      </c>
      <c r="F10" s="166" t="s">
        <v>585</v>
      </c>
    </row>
    <row r="11" spans="1:7" s="25" customFormat="1" ht="15.75" x14ac:dyDescent="0.25">
      <c r="A11" s="156"/>
      <c r="B11" s="101"/>
      <c r="C11" s="101"/>
      <c r="D11" s="101"/>
      <c r="E11" s="101"/>
      <c r="F11" s="198"/>
    </row>
    <row r="12" spans="1:7" s="25" customFormat="1" ht="15.75" x14ac:dyDescent="0.25">
      <c r="A12" s="156"/>
      <c r="B12" s="101"/>
      <c r="C12" s="101"/>
      <c r="D12" s="101"/>
      <c r="E12" s="101"/>
      <c r="F12" s="198"/>
      <c r="G12" s="92"/>
    </row>
    <row r="13" spans="1:7" ht="15.75" x14ac:dyDescent="0.25">
      <c r="A13" s="190"/>
      <c r="B13" s="191"/>
      <c r="C13" s="4"/>
      <c r="D13" s="4"/>
      <c r="E13" s="4"/>
      <c r="F13" s="188"/>
    </row>
    <row r="14" spans="1:7" ht="15.75" x14ac:dyDescent="0.25">
      <c r="A14" s="302" t="s">
        <v>0</v>
      </c>
      <c r="B14" s="267"/>
      <c r="C14" s="267"/>
      <c r="D14" s="267"/>
      <c r="E14" s="267"/>
      <c r="F14" s="303"/>
    </row>
    <row r="15" spans="1:7" ht="15.75" x14ac:dyDescent="0.25">
      <c r="A15" s="160" t="s">
        <v>36</v>
      </c>
      <c r="B15" s="1" t="s">
        <v>112</v>
      </c>
      <c r="C15" s="1" t="s">
        <v>11</v>
      </c>
      <c r="D15" s="1" t="s">
        <v>200</v>
      </c>
      <c r="E15" s="1" t="s">
        <v>6</v>
      </c>
      <c r="F15" s="206" t="s">
        <v>7</v>
      </c>
    </row>
    <row r="16" spans="1:7" ht="15.75" x14ac:dyDescent="0.25">
      <c r="A16" s="196">
        <v>1</v>
      </c>
      <c r="B16" s="3">
        <f ca="1">TODAY()</f>
        <v>45945</v>
      </c>
      <c r="C16" s="2">
        <v>14</v>
      </c>
      <c r="D16" s="6" t="s">
        <v>112</v>
      </c>
      <c r="E16" s="5" t="s">
        <v>10</v>
      </c>
      <c r="F16" s="197"/>
    </row>
    <row r="17" spans="1:6" ht="15.75" x14ac:dyDescent="0.25">
      <c r="A17" s="196">
        <v>2</v>
      </c>
      <c r="B17" s="3">
        <f ca="1">TODAY()</f>
        <v>45945</v>
      </c>
      <c r="C17" s="2">
        <v>14</v>
      </c>
      <c r="D17" s="6" t="s">
        <v>112</v>
      </c>
      <c r="E17" s="5" t="s">
        <v>10</v>
      </c>
      <c r="F17" s="197"/>
    </row>
    <row r="18" spans="1:6" ht="15.75" x14ac:dyDescent="0.25">
      <c r="A18" s="196">
        <v>3</v>
      </c>
      <c r="B18" s="3">
        <f ca="1">TODAY()</f>
        <v>45945</v>
      </c>
      <c r="C18" s="2">
        <v>14</v>
      </c>
      <c r="D18" s="6" t="s">
        <v>112</v>
      </c>
      <c r="E18" s="5" t="s">
        <v>10</v>
      </c>
      <c r="F18" s="197"/>
    </row>
    <row r="19" spans="1:6" ht="15.75" x14ac:dyDescent="0.25">
      <c r="A19" s="196">
        <v>4</v>
      </c>
      <c r="B19" s="3">
        <f ca="1">TODAY()</f>
        <v>45945</v>
      </c>
      <c r="C19" s="2">
        <v>14</v>
      </c>
      <c r="D19" s="6" t="s">
        <v>112</v>
      </c>
      <c r="E19" s="5" t="s">
        <v>10</v>
      </c>
      <c r="F19" s="197"/>
    </row>
    <row r="20" spans="1:6" ht="15.75" x14ac:dyDescent="0.25">
      <c r="A20" s="196">
        <v>5</v>
      </c>
      <c r="B20" s="3">
        <f ca="1">TODAY()</f>
        <v>45945</v>
      </c>
      <c r="C20" s="2">
        <v>14</v>
      </c>
      <c r="D20" s="6" t="s">
        <v>112</v>
      </c>
      <c r="E20" s="5" t="s">
        <v>10</v>
      </c>
      <c r="F20" s="197"/>
    </row>
    <row r="21" spans="1:6" ht="21" x14ac:dyDescent="0.35">
      <c r="A21" s="193"/>
      <c r="B21" s="191"/>
      <c r="C21" s="4"/>
      <c r="D21" s="4"/>
      <c r="E21" s="4"/>
      <c r="F21" s="188"/>
    </row>
    <row r="22" spans="1:6" ht="15.75" x14ac:dyDescent="0.25">
      <c r="A22" s="160" t="s">
        <v>37</v>
      </c>
      <c r="B22" s="1" t="s">
        <v>112</v>
      </c>
      <c r="C22" s="1" t="s">
        <v>11</v>
      </c>
      <c r="D22" s="1" t="s">
        <v>200</v>
      </c>
      <c r="E22" s="1" t="s">
        <v>6</v>
      </c>
      <c r="F22" s="206" t="s">
        <v>7</v>
      </c>
    </row>
    <row r="23" spans="1:6" ht="15.75" x14ac:dyDescent="0.25">
      <c r="A23" s="196">
        <v>1</v>
      </c>
      <c r="B23" s="3">
        <f ca="1">TODAY()</f>
        <v>45945</v>
      </c>
      <c r="C23" s="2">
        <v>14</v>
      </c>
      <c r="D23" s="6" t="s">
        <v>112</v>
      </c>
      <c r="E23" s="5" t="s">
        <v>10</v>
      </c>
      <c r="F23" s="197"/>
    </row>
    <row r="24" spans="1:6" ht="15.75" x14ac:dyDescent="0.25">
      <c r="A24" s="196">
        <v>2</v>
      </c>
      <c r="B24" s="3">
        <f ca="1">TODAY()</f>
        <v>45945</v>
      </c>
      <c r="C24" s="2">
        <v>14</v>
      </c>
      <c r="D24" s="6" t="s">
        <v>112</v>
      </c>
      <c r="E24" s="5" t="s">
        <v>10</v>
      </c>
      <c r="F24" s="197"/>
    </row>
    <row r="25" spans="1:6" ht="15.75" x14ac:dyDescent="0.25">
      <c r="A25" s="196">
        <v>3</v>
      </c>
      <c r="B25" s="3">
        <f ca="1">TODAY()</f>
        <v>45945</v>
      </c>
      <c r="C25" s="2">
        <v>14</v>
      </c>
      <c r="D25" s="6" t="s">
        <v>112</v>
      </c>
      <c r="E25" s="5" t="s">
        <v>10</v>
      </c>
      <c r="F25" s="197"/>
    </row>
    <row r="26" spans="1:6" ht="15.75" x14ac:dyDescent="0.25">
      <c r="A26" s="196">
        <v>4</v>
      </c>
      <c r="B26" s="3">
        <f ca="1">TODAY()</f>
        <v>45945</v>
      </c>
      <c r="C26" s="2">
        <v>14</v>
      </c>
      <c r="D26" s="6" t="s">
        <v>112</v>
      </c>
      <c r="E26" s="5" t="s">
        <v>10</v>
      </c>
      <c r="F26" s="197"/>
    </row>
    <row r="27" spans="1:6" ht="15.75" x14ac:dyDescent="0.25">
      <c r="A27" s="196">
        <v>5</v>
      </c>
      <c r="B27" s="3">
        <f ca="1">TODAY()</f>
        <v>45945</v>
      </c>
      <c r="C27" s="2">
        <v>14</v>
      </c>
      <c r="D27" s="6" t="s">
        <v>112</v>
      </c>
      <c r="E27" s="5" t="s">
        <v>10</v>
      </c>
      <c r="F27" s="197"/>
    </row>
    <row r="28" spans="1:6" x14ac:dyDescent="0.25">
      <c r="A28" s="215"/>
      <c r="F28" s="213"/>
    </row>
    <row r="29" spans="1:6" ht="15.75" x14ac:dyDescent="0.25">
      <c r="A29" s="302" t="s">
        <v>1</v>
      </c>
      <c r="B29" s="267"/>
      <c r="C29" s="267"/>
      <c r="D29" s="267"/>
      <c r="E29" s="267"/>
      <c r="F29" s="303"/>
    </row>
    <row r="30" spans="1:6" ht="15.75" x14ac:dyDescent="0.25">
      <c r="A30" s="160" t="s">
        <v>59</v>
      </c>
      <c r="B30" s="1" t="s">
        <v>112</v>
      </c>
      <c r="C30" s="1" t="s">
        <v>11</v>
      </c>
      <c r="D30" s="1" t="s">
        <v>200</v>
      </c>
      <c r="E30" s="1" t="s">
        <v>6</v>
      </c>
      <c r="F30" s="206" t="s">
        <v>7</v>
      </c>
    </row>
    <row r="31" spans="1:6" ht="15.75" x14ac:dyDescent="0.25">
      <c r="A31" s="196">
        <v>1</v>
      </c>
      <c r="B31" s="3">
        <f t="shared" ref="B31:B44" ca="1" si="0">TODAY()</f>
        <v>45945</v>
      </c>
      <c r="C31" s="2">
        <v>14</v>
      </c>
      <c r="D31" s="6" t="s">
        <v>112</v>
      </c>
      <c r="E31" s="5" t="s">
        <v>57</v>
      </c>
      <c r="F31" s="199" t="s">
        <v>121</v>
      </c>
    </row>
    <row r="32" spans="1:6" ht="15.75" x14ac:dyDescent="0.25">
      <c r="A32" s="196">
        <v>2</v>
      </c>
      <c r="B32" s="3">
        <f t="shared" ca="1" si="0"/>
        <v>45945</v>
      </c>
      <c r="C32" s="2">
        <v>14</v>
      </c>
      <c r="D32" s="6" t="s">
        <v>112</v>
      </c>
      <c r="E32" s="5" t="s">
        <v>57</v>
      </c>
      <c r="F32" s="199" t="s">
        <v>122</v>
      </c>
    </row>
    <row r="33" spans="1:6" ht="15.75" x14ac:dyDescent="0.25">
      <c r="A33" s="196">
        <v>3</v>
      </c>
      <c r="B33" s="3">
        <f t="shared" ca="1" si="0"/>
        <v>45945</v>
      </c>
      <c r="C33" s="2">
        <v>14</v>
      </c>
      <c r="D33" s="6" t="s">
        <v>112</v>
      </c>
      <c r="E33" s="5" t="s">
        <v>57</v>
      </c>
      <c r="F33" s="199" t="s">
        <v>123</v>
      </c>
    </row>
    <row r="34" spans="1:6" ht="15.75" x14ac:dyDescent="0.25">
      <c r="A34" s="196">
        <v>4</v>
      </c>
      <c r="B34" s="3">
        <f t="shared" ca="1" si="0"/>
        <v>45945</v>
      </c>
      <c r="C34" s="2">
        <v>14</v>
      </c>
      <c r="D34" s="6" t="s">
        <v>112</v>
      </c>
      <c r="E34" s="5" t="s">
        <v>57</v>
      </c>
      <c r="F34" s="199" t="s">
        <v>124</v>
      </c>
    </row>
    <row r="35" spans="1:6" ht="15.75" x14ac:dyDescent="0.25">
      <c r="A35" s="196">
        <v>5</v>
      </c>
      <c r="B35" s="3">
        <f t="shared" ca="1" si="0"/>
        <v>45945</v>
      </c>
      <c r="C35" s="2">
        <v>14</v>
      </c>
      <c r="D35" s="6" t="s">
        <v>112</v>
      </c>
      <c r="E35" s="5" t="s">
        <v>57</v>
      </c>
      <c r="F35" s="199" t="s">
        <v>125</v>
      </c>
    </row>
    <row r="36" spans="1:6" ht="15.75" x14ac:dyDescent="0.25">
      <c r="A36" s="196">
        <v>6</v>
      </c>
      <c r="B36" s="3">
        <f t="shared" ca="1" si="0"/>
        <v>45945</v>
      </c>
      <c r="C36" s="2">
        <v>14</v>
      </c>
      <c r="D36" s="6" t="s">
        <v>112</v>
      </c>
      <c r="E36" s="5" t="s">
        <v>57</v>
      </c>
      <c r="F36" s="199" t="s">
        <v>126</v>
      </c>
    </row>
    <row r="37" spans="1:6" ht="15.75" x14ac:dyDescent="0.25">
      <c r="A37" s="196">
        <v>7</v>
      </c>
      <c r="B37" s="3">
        <f t="shared" ca="1" si="0"/>
        <v>45945</v>
      </c>
      <c r="C37" s="2">
        <v>14</v>
      </c>
      <c r="D37" s="6" t="s">
        <v>112</v>
      </c>
      <c r="E37" s="5" t="s">
        <v>57</v>
      </c>
      <c r="F37" s="199" t="s">
        <v>116</v>
      </c>
    </row>
    <row r="38" spans="1:6" ht="15.75" x14ac:dyDescent="0.25">
      <c r="A38" s="196">
        <v>8</v>
      </c>
      <c r="B38" s="3">
        <f t="shared" ca="1" si="0"/>
        <v>45945</v>
      </c>
      <c r="C38" s="2">
        <v>14</v>
      </c>
      <c r="D38" s="6" t="s">
        <v>112</v>
      </c>
      <c r="E38" s="5" t="s">
        <v>57</v>
      </c>
      <c r="F38" s="199" t="s">
        <v>127</v>
      </c>
    </row>
    <row r="39" spans="1:6" ht="15.75" x14ac:dyDescent="0.25">
      <c r="A39" s="196">
        <v>9</v>
      </c>
      <c r="B39" s="3">
        <f t="shared" ca="1" si="0"/>
        <v>45945</v>
      </c>
      <c r="C39" s="2">
        <v>14</v>
      </c>
      <c r="D39" s="6" t="s">
        <v>112</v>
      </c>
      <c r="E39" s="5" t="s">
        <v>57</v>
      </c>
      <c r="F39" s="199" t="s">
        <v>128</v>
      </c>
    </row>
    <row r="40" spans="1:6" ht="15.75" x14ac:dyDescent="0.25">
      <c r="A40" s="196">
        <v>10</v>
      </c>
      <c r="B40" s="3">
        <f t="shared" ca="1" si="0"/>
        <v>45945</v>
      </c>
      <c r="C40" s="2">
        <v>14</v>
      </c>
      <c r="D40" s="6" t="s">
        <v>112</v>
      </c>
      <c r="E40" s="5" t="s">
        <v>57</v>
      </c>
      <c r="F40" s="199" t="s">
        <v>146</v>
      </c>
    </row>
    <row r="41" spans="1:6" ht="15.75" x14ac:dyDescent="0.25">
      <c r="A41" s="196">
        <v>11</v>
      </c>
      <c r="B41" s="3">
        <f t="shared" ca="1" si="0"/>
        <v>45945</v>
      </c>
      <c r="C41" s="2">
        <v>14</v>
      </c>
      <c r="D41" s="6" t="s">
        <v>112</v>
      </c>
      <c r="E41" s="5" t="s">
        <v>57</v>
      </c>
      <c r="F41" s="199" t="s">
        <v>129</v>
      </c>
    </row>
    <row r="42" spans="1:6" ht="15.75" x14ac:dyDescent="0.25">
      <c r="A42" s="196">
        <v>12</v>
      </c>
      <c r="B42" s="3">
        <f t="shared" ca="1" si="0"/>
        <v>45945</v>
      </c>
      <c r="C42" s="2">
        <v>14</v>
      </c>
      <c r="D42" s="6" t="s">
        <v>112</v>
      </c>
      <c r="E42" s="5" t="s">
        <v>57</v>
      </c>
      <c r="F42" s="199" t="s">
        <v>130</v>
      </c>
    </row>
    <row r="43" spans="1:6" ht="15.75" x14ac:dyDescent="0.25">
      <c r="A43" s="196">
        <v>13</v>
      </c>
      <c r="B43" s="3">
        <f t="shared" ca="1" si="0"/>
        <v>45945</v>
      </c>
      <c r="C43" s="2">
        <v>14</v>
      </c>
      <c r="D43" s="6" t="s">
        <v>112</v>
      </c>
      <c r="E43" s="5" t="s">
        <v>57</v>
      </c>
      <c r="F43" s="199" t="s">
        <v>131</v>
      </c>
    </row>
    <row r="44" spans="1:6" ht="16.5" thickBot="1" x14ac:dyDescent="0.3">
      <c r="A44" s="200">
        <v>14</v>
      </c>
      <c r="B44" s="201">
        <f t="shared" ca="1" si="0"/>
        <v>45945</v>
      </c>
      <c r="C44" s="202">
        <v>14</v>
      </c>
      <c r="D44" s="203" t="s">
        <v>112</v>
      </c>
      <c r="E44" s="204" t="s">
        <v>57</v>
      </c>
      <c r="F44" s="205" t="s">
        <v>132</v>
      </c>
    </row>
    <row r="45" spans="1:6" s="104" customFormat="1" x14ac:dyDescent="0.25"/>
    <row r="46" spans="1:6" s="104" customFormat="1" x14ac:dyDescent="0.25"/>
    <row r="47" spans="1:6" s="104" customFormat="1" x14ac:dyDescent="0.25"/>
    <row r="48" spans="1:6" s="104" customFormat="1" x14ac:dyDescent="0.25"/>
    <row r="49" s="104" customFormat="1" x14ac:dyDescent="0.25"/>
    <row r="50" s="104" customFormat="1" x14ac:dyDescent="0.25"/>
    <row r="51" s="104" customFormat="1" x14ac:dyDescent="0.25"/>
    <row r="52" s="104" customFormat="1" x14ac:dyDescent="0.25"/>
    <row r="53" s="104" customFormat="1" x14ac:dyDescent="0.25"/>
    <row r="54" s="104" customFormat="1" x14ac:dyDescent="0.25"/>
    <row r="55" s="104" customFormat="1" x14ac:dyDescent="0.25"/>
    <row r="56" s="104" customFormat="1" x14ac:dyDescent="0.25"/>
    <row r="57" s="104" customFormat="1" x14ac:dyDescent="0.25"/>
    <row r="58" s="104" customFormat="1" x14ac:dyDescent="0.25"/>
    <row r="59" s="104" customFormat="1" x14ac:dyDescent="0.25"/>
    <row r="60" s="104" customFormat="1" x14ac:dyDescent="0.25"/>
    <row r="61" s="104" customFormat="1" x14ac:dyDescent="0.25"/>
    <row r="62" s="104" customFormat="1" x14ac:dyDescent="0.25"/>
    <row r="63" s="104" customFormat="1" x14ac:dyDescent="0.25"/>
    <row r="64" s="104" customFormat="1" x14ac:dyDescent="0.25"/>
  </sheetData>
  <mergeCells count="3">
    <mergeCell ref="A9:F9"/>
    <mergeCell ref="A14:F14"/>
    <mergeCell ref="A29:F29"/>
  </mergeCells>
  <dataValidations count="2">
    <dataValidation type="list" allowBlank="1" showInputMessage="1" showErrorMessage="1" sqref="E23:E27 E31:E44 E16:E20" xr:uid="{4C8D8695-37DA-4C6C-8197-68D28766B329}">
      <formula1>"Untrained, In Progress, Retrain, Trained,Proficient"</formula1>
    </dataValidation>
    <dataValidation type="list" allowBlank="1" showInputMessage="1" showErrorMessage="1" sqref="B6:B8" xr:uid="{B34844DA-3425-408F-8947-91ECA772C1AA}">
      <formula1>"Yes,No"</formula1>
    </dataValidation>
  </dataValidation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9E49-303B-45DF-AA1D-752139EB859C}">
  <dimension ref="A1:R189"/>
  <sheetViews>
    <sheetView zoomScaleNormal="100" workbookViewId="0">
      <selection activeCell="B5" sqref="B5"/>
    </sheetView>
  </sheetViews>
  <sheetFormatPr defaultRowHeight="15" x14ac:dyDescent="0.25"/>
  <cols>
    <col min="1" max="1" width="29.42578125" bestFit="1" customWidth="1"/>
    <col min="2" max="2" width="18.28515625" bestFit="1" customWidth="1"/>
    <col min="3" max="3" width="17" bestFit="1" customWidth="1"/>
    <col min="4" max="4" width="20.42578125" bestFit="1" customWidth="1"/>
    <col min="5" max="5" width="9.85546875" bestFit="1" customWidth="1"/>
    <col min="6" max="6" width="55.140625" bestFit="1" customWidth="1"/>
  </cols>
  <sheetData>
    <row r="1" spans="1:18" ht="15.75" x14ac:dyDescent="0.25">
      <c r="A1" s="181" t="s">
        <v>69</v>
      </c>
      <c r="B1" s="182"/>
      <c r="C1" s="183" t="s">
        <v>87</v>
      </c>
      <c r="D1" s="184">
        <f ca="1">TODAY()</f>
        <v>45945</v>
      </c>
      <c r="E1" s="185"/>
      <c r="F1" s="186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18" ht="15.75" x14ac:dyDescent="0.25">
      <c r="A2" s="187" t="s">
        <v>78</v>
      </c>
      <c r="B2" s="18" t="s">
        <v>623</v>
      </c>
      <c r="C2" s="17" t="s">
        <v>5</v>
      </c>
      <c r="D2" s="10">
        <f ca="1">SUM(D3-(TODAY()))</f>
        <v>-838</v>
      </c>
      <c r="E2" s="4"/>
      <c r="F2" s="188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18" ht="21" x14ac:dyDescent="0.35">
      <c r="A3" s="189" t="s">
        <v>70</v>
      </c>
      <c r="B3" s="122" t="s">
        <v>624</v>
      </c>
      <c r="C3" s="17" t="s">
        <v>12</v>
      </c>
      <c r="D3" s="6">
        <f>VLOOKUP(B3,Target,4,0)</f>
        <v>45107</v>
      </c>
      <c r="E3" s="4"/>
      <c r="F3" s="188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</row>
    <row r="4" spans="1:18" ht="15.75" x14ac:dyDescent="0.25">
      <c r="A4" s="190"/>
      <c r="B4" s="191"/>
      <c r="C4" s="4"/>
      <c r="D4" s="4"/>
      <c r="E4" s="4"/>
      <c r="F4" s="188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</row>
    <row r="5" spans="1:18" s="25" customFormat="1" ht="21" x14ac:dyDescent="0.35">
      <c r="A5" s="192" t="s">
        <v>624</v>
      </c>
      <c r="B5" s="31" t="s">
        <v>595</v>
      </c>
      <c r="C5" s="91"/>
      <c r="D5" s="91"/>
      <c r="E5" s="91"/>
      <c r="F5" s="159"/>
      <c r="G5" s="91"/>
    </row>
    <row r="6" spans="1:18" s="25" customFormat="1" ht="15.75" x14ac:dyDescent="0.25">
      <c r="A6" s="160" t="s">
        <v>35</v>
      </c>
      <c r="B6" s="31"/>
      <c r="C6" s="91"/>
      <c r="D6" s="91"/>
      <c r="E6" s="91"/>
      <c r="F6" s="159"/>
      <c r="G6" s="91"/>
    </row>
    <row r="7" spans="1:18" s="25" customFormat="1" ht="15.75" x14ac:dyDescent="0.25">
      <c r="A7" s="161" t="s">
        <v>622</v>
      </c>
      <c r="B7" s="31"/>
      <c r="C7" s="91"/>
      <c r="D7" s="91"/>
      <c r="E7" s="91"/>
      <c r="F7" s="159"/>
      <c r="G7" s="91"/>
    </row>
    <row r="8" spans="1:18" ht="15.75" x14ac:dyDescent="0.25">
      <c r="A8" s="190"/>
      <c r="B8" s="191"/>
      <c r="C8" s="4"/>
      <c r="D8" s="4"/>
      <c r="E8" s="4"/>
      <c r="F8" s="188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s="25" customFormat="1" ht="15.75" x14ac:dyDescent="0.25">
      <c r="A9" s="302" t="s">
        <v>348</v>
      </c>
      <c r="B9" s="267"/>
      <c r="C9" s="267"/>
      <c r="D9" s="267"/>
      <c r="E9" s="267"/>
      <c r="F9" s="303"/>
    </row>
    <row r="10" spans="1:18" s="25" customFormat="1" ht="15.75" x14ac:dyDescent="0.25">
      <c r="A10" s="160"/>
      <c r="B10" s="26" t="s">
        <v>112</v>
      </c>
      <c r="C10" s="26" t="s">
        <v>11</v>
      </c>
      <c r="D10" s="26" t="s">
        <v>200</v>
      </c>
      <c r="E10" s="26" t="s">
        <v>6</v>
      </c>
      <c r="F10" s="166" t="s">
        <v>585</v>
      </c>
    </row>
    <row r="11" spans="1:18" s="25" customFormat="1" ht="15.75" x14ac:dyDescent="0.25">
      <c r="A11" s="156"/>
      <c r="B11" s="101"/>
      <c r="C11" s="101"/>
      <c r="D11" s="101"/>
      <c r="E11" s="101"/>
      <c r="F11" s="198"/>
    </row>
    <row r="12" spans="1:18" s="25" customFormat="1" ht="15.75" x14ac:dyDescent="0.25">
      <c r="A12" s="156"/>
      <c r="B12" s="101"/>
      <c r="C12" s="101"/>
      <c r="D12" s="101"/>
      <c r="E12" s="101"/>
      <c r="F12" s="198"/>
      <c r="G12" s="92"/>
    </row>
    <row r="13" spans="1:18" ht="15.75" x14ac:dyDescent="0.25">
      <c r="A13" s="190"/>
      <c r="B13" s="191"/>
      <c r="C13" s="4"/>
      <c r="D13" s="4"/>
      <c r="E13" s="4"/>
      <c r="F13" s="188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</row>
    <row r="14" spans="1:18" ht="15.75" x14ac:dyDescent="0.25">
      <c r="A14" s="302" t="s">
        <v>0</v>
      </c>
      <c r="B14" s="267"/>
      <c r="C14" s="267"/>
      <c r="D14" s="267"/>
      <c r="E14" s="267"/>
      <c r="F14" s="303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1:18" ht="15.75" x14ac:dyDescent="0.25">
      <c r="A15" s="160" t="s">
        <v>38</v>
      </c>
      <c r="B15" s="1" t="s">
        <v>112</v>
      </c>
      <c r="C15" s="1" t="s">
        <v>11</v>
      </c>
      <c r="D15" s="1" t="s">
        <v>200</v>
      </c>
      <c r="E15" s="1" t="s">
        <v>6</v>
      </c>
      <c r="F15" s="206" t="s">
        <v>7</v>
      </c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</row>
    <row r="16" spans="1:18" ht="15.75" x14ac:dyDescent="0.25">
      <c r="A16" s="196">
        <v>1</v>
      </c>
      <c r="B16" s="6">
        <f t="shared" ref="B16:B25" ca="1" si="0">TODAY()</f>
        <v>45945</v>
      </c>
      <c r="C16" s="2">
        <v>14</v>
      </c>
      <c r="D16" s="6" t="s">
        <v>112</v>
      </c>
      <c r="E16" s="6" t="s">
        <v>10</v>
      </c>
      <c r="F16" s="197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18" ht="15.75" x14ac:dyDescent="0.25">
      <c r="A17" s="196">
        <v>2</v>
      </c>
      <c r="B17" s="6">
        <f t="shared" ca="1" si="0"/>
        <v>45945</v>
      </c>
      <c r="C17" s="2">
        <v>14</v>
      </c>
      <c r="D17" s="6" t="s">
        <v>112</v>
      </c>
      <c r="E17" s="6" t="s">
        <v>10</v>
      </c>
      <c r="F17" s="197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18" ht="15.75" x14ac:dyDescent="0.25">
      <c r="A18" s="196">
        <v>3</v>
      </c>
      <c r="B18" s="6">
        <f t="shared" ca="1" si="0"/>
        <v>45945</v>
      </c>
      <c r="C18" s="2">
        <v>14</v>
      </c>
      <c r="D18" s="6" t="s">
        <v>112</v>
      </c>
      <c r="E18" s="6" t="s">
        <v>10</v>
      </c>
      <c r="F18" s="197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</row>
    <row r="19" spans="1:18" ht="15.75" x14ac:dyDescent="0.25">
      <c r="A19" s="196">
        <v>4</v>
      </c>
      <c r="B19" s="6">
        <f t="shared" ca="1" si="0"/>
        <v>45945</v>
      </c>
      <c r="C19" s="2">
        <v>14</v>
      </c>
      <c r="D19" s="6" t="s">
        <v>112</v>
      </c>
      <c r="E19" s="6" t="s">
        <v>10</v>
      </c>
      <c r="F19" s="197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18" ht="15.75" x14ac:dyDescent="0.25">
      <c r="A20" s="196">
        <v>5</v>
      </c>
      <c r="B20" s="6">
        <f t="shared" ca="1" si="0"/>
        <v>45945</v>
      </c>
      <c r="C20" s="2">
        <v>14</v>
      </c>
      <c r="D20" s="6" t="s">
        <v>112</v>
      </c>
      <c r="E20" s="6" t="s">
        <v>10</v>
      </c>
      <c r="F20" s="197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18" ht="15.75" x14ac:dyDescent="0.25">
      <c r="A21" s="196">
        <v>6</v>
      </c>
      <c r="B21" s="6">
        <f t="shared" ca="1" si="0"/>
        <v>45945</v>
      </c>
      <c r="C21" s="2">
        <v>14</v>
      </c>
      <c r="D21" s="6" t="s">
        <v>112</v>
      </c>
      <c r="E21" s="6" t="s">
        <v>10</v>
      </c>
      <c r="F21" s="197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18" ht="15.75" x14ac:dyDescent="0.25">
      <c r="A22" s="196">
        <v>7</v>
      </c>
      <c r="B22" s="6">
        <f t="shared" ca="1" si="0"/>
        <v>45945</v>
      </c>
      <c r="C22" s="2">
        <v>14</v>
      </c>
      <c r="D22" s="6" t="s">
        <v>112</v>
      </c>
      <c r="E22" s="6" t="s">
        <v>10</v>
      </c>
      <c r="F22" s="197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18" ht="15.75" x14ac:dyDescent="0.25">
      <c r="A23" s="196">
        <v>8</v>
      </c>
      <c r="B23" s="6">
        <f t="shared" ca="1" si="0"/>
        <v>45945</v>
      </c>
      <c r="C23" s="2">
        <v>14</v>
      </c>
      <c r="D23" s="6" t="s">
        <v>112</v>
      </c>
      <c r="E23" s="6" t="s">
        <v>10</v>
      </c>
      <c r="F23" s="197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</row>
    <row r="24" spans="1:18" ht="15.75" x14ac:dyDescent="0.25">
      <c r="A24" s="196">
        <v>9</v>
      </c>
      <c r="B24" s="6">
        <f t="shared" ca="1" si="0"/>
        <v>45945</v>
      </c>
      <c r="C24" s="2">
        <v>14</v>
      </c>
      <c r="D24" s="6" t="s">
        <v>112</v>
      </c>
      <c r="E24" s="6" t="s">
        <v>10</v>
      </c>
      <c r="F24" s="197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18" ht="15.75" x14ac:dyDescent="0.25">
      <c r="A25" s="196">
        <v>10</v>
      </c>
      <c r="B25" s="6">
        <f t="shared" ca="1" si="0"/>
        <v>45945</v>
      </c>
      <c r="C25" s="2">
        <v>14</v>
      </c>
      <c r="D25" s="6" t="s">
        <v>112</v>
      </c>
      <c r="E25" s="6" t="s">
        <v>10</v>
      </c>
      <c r="F25" s="197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18" ht="15.75" x14ac:dyDescent="0.25">
      <c r="A26" s="217"/>
      <c r="B26" s="180"/>
      <c r="C26" s="218"/>
      <c r="D26" s="180"/>
      <c r="E26" s="180"/>
      <c r="F26" s="219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18" ht="15.75" x14ac:dyDescent="0.25">
      <c r="A27" s="160" t="s">
        <v>582</v>
      </c>
      <c r="B27" s="1" t="s">
        <v>112</v>
      </c>
      <c r="C27" s="1" t="s">
        <v>11</v>
      </c>
      <c r="D27" s="1" t="s">
        <v>200</v>
      </c>
      <c r="E27" s="1" t="s">
        <v>6</v>
      </c>
      <c r="F27" s="206" t="s">
        <v>7</v>
      </c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18" ht="15.75" x14ac:dyDescent="0.25">
      <c r="A28" s="196"/>
      <c r="B28" s="6">
        <f t="shared" ref="B28:B35" ca="1" si="1">TODAY()</f>
        <v>45945</v>
      </c>
      <c r="C28" s="2">
        <v>14</v>
      </c>
      <c r="D28" s="6" t="s">
        <v>112</v>
      </c>
      <c r="E28" s="6" t="s">
        <v>10</v>
      </c>
      <c r="F28" s="197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18" ht="15.75" x14ac:dyDescent="0.25">
      <c r="A29" s="196"/>
      <c r="B29" s="6">
        <f t="shared" ca="1" si="1"/>
        <v>45945</v>
      </c>
      <c r="C29" s="2">
        <v>14</v>
      </c>
      <c r="D29" s="6" t="s">
        <v>112</v>
      </c>
      <c r="E29" s="6" t="s">
        <v>10</v>
      </c>
      <c r="F29" s="197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18" ht="15.75" x14ac:dyDescent="0.25">
      <c r="A30" s="196"/>
      <c r="B30" s="6">
        <f t="shared" ca="1" si="1"/>
        <v>45945</v>
      </c>
      <c r="C30" s="2">
        <v>14</v>
      </c>
      <c r="D30" s="6" t="s">
        <v>112</v>
      </c>
      <c r="E30" s="6" t="s">
        <v>10</v>
      </c>
      <c r="F30" s="197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18" ht="15.75" x14ac:dyDescent="0.25">
      <c r="A31" s="196"/>
      <c r="B31" s="6">
        <f t="shared" ca="1" si="1"/>
        <v>45945</v>
      </c>
      <c r="C31" s="2">
        <v>14</v>
      </c>
      <c r="D31" s="6" t="s">
        <v>112</v>
      </c>
      <c r="E31" s="6" t="s">
        <v>10</v>
      </c>
      <c r="F31" s="197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</row>
    <row r="32" spans="1:18" ht="15.75" x14ac:dyDescent="0.25">
      <c r="A32" s="196"/>
      <c r="B32" s="6">
        <f t="shared" ca="1" si="1"/>
        <v>45945</v>
      </c>
      <c r="C32" s="2">
        <v>14</v>
      </c>
      <c r="D32" s="6" t="s">
        <v>112</v>
      </c>
      <c r="E32" s="6" t="s">
        <v>10</v>
      </c>
      <c r="F32" s="197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</row>
    <row r="33" spans="1:18" ht="15.75" x14ac:dyDescent="0.25">
      <c r="A33" s="196"/>
      <c r="B33" s="6">
        <f t="shared" ca="1" si="1"/>
        <v>45945</v>
      </c>
      <c r="C33" s="2">
        <v>14</v>
      </c>
      <c r="D33" s="6" t="s">
        <v>112</v>
      </c>
      <c r="E33" s="6" t="s">
        <v>10</v>
      </c>
      <c r="F33" s="197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</row>
    <row r="34" spans="1:18" ht="15.75" x14ac:dyDescent="0.25">
      <c r="A34" s="196"/>
      <c r="B34" s="6">
        <f t="shared" ca="1" si="1"/>
        <v>45945</v>
      </c>
      <c r="C34" s="2">
        <v>14</v>
      </c>
      <c r="D34" s="6" t="s">
        <v>112</v>
      </c>
      <c r="E34" s="6" t="s">
        <v>10</v>
      </c>
      <c r="F34" s="197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</row>
    <row r="35" spans="1:18" ht="15.75" x14ac:dyDescent="0.25">
      <c r="A35" s="196"/>
      <c r="B35" s="6">
        <f t="shared" ca="1" si="1"/>
        <v>45945</v>
      </c>
      <c r="C35" s="2">
        <v>14</v>
      </c>
      <c r="D35" s="6" t="s">
        <v>112</v>
      </c>
      <c r="E35" s="6" t="s">
        <v>10</v>
      </c>
      <c r="F35" s="197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</row>
    <row r="36" spans="1:18" x14ac:dyDescent="0.25">
      <c r="A36" s="215"/>
      <c r="F36" s="213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</row>
    <row r="37" spans="1:18" ht="15.75" x14ac:dyDescent="0.25">
      <c r="A37" s="302" t="s">
        <v>1</v>
      </c>
      <c r="B37" s="267"/>
      <c r="C37" s="267"/>
      <c r="D37" s="267"/>
      <c r="E37" s="267"/>
      <c r="F37" s="303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</row>
    <row r="38" spans="1:18" ht="15.75" x14ac:dyDescent="0.25">
      <c r="A38" s="160" t="s">
        <v>59</v>
      </c>
      <c r="B38" s="1" t="s">
        <v>112</v>
      </c>
      <c r="C38" s="1" t="s">
        <v>11</v>
      </c>
      <c r="D38" s="1" t="s">
        <v>200</v>
      </c>
      <c r="E38" s="1" t="s">
        <v>6</v>
      </c>
      <c r="F38" s="206" t="s">
        <v>7</v>
      </c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</row>
    <row r="39" spans="1:18" ht="15.75" x14ac:dyDescent="0.25">
      <c r="A39" s="196">
        <v>15</v>
      </c>
      <c r="B39" s="3">
        <f t="shared" ref="B39:B53" ca="1" si="2">TODAY()</f>
        <v>45945</v>
      </c>
      <c r="C39" s="2">
        <v>14</v>
      </c>
      <c r="D39" s="6" t="s">
        <v>112</v>
      </c>
      <c r="E39" s="5" t="s">
        <v>57</v>
      </c>
      <c r="F39" s="199" t="s">
        <v>133</v>
      </c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</row>
    <row r="40" spans="1:18" ht="15.75" x14ac:dyDescent="0.25">
      <c r="A40" s="196">
        <v>16</v>
      </c>
      <c r="B40" s="3">
        <f t="shared" ca="1" si="2"/>
        <v>45945</v>
      </c>
      <c r="C40" s="2">
        <v>14</v>
      </c>
      <c r="D40" s="6" t="s">
        <v>112</v>
      </c>
      <c r="E40" s="5" t="s">
        <v>57</v>
      </c>
      <c r="F40" s="199" t="s">
        <v>134</v>
      </c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</row>
    <row r="41" spans="1:18" ht="15.75" x14ac:dyDescent="0.25">
      <c r="A41" s="196">
        <v>17</v>
      </c>
      <c r="B41" s="3">
        <f t="shared" ca="1" si="2"/>
        <v>45945</v>
      </c>
      <c r="C41" s="2">
        <v>14</v>
      </c>
      <c r="D41" s="6" t="s">
        <v>112</v>
      </c>
      <c r="E41" s="5" t="s">
        <v>57</v>
      </c>
      <c r="F41" s="199" t="s">
        <v>135</v>
      </c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</row>
    <row r="42" spans="1:18" ht="15.75" x14ac:dyDescent="0.25">
      <c r="A42" s="196">
        <v>18</v>
      </c>
      <c r="B42" s="3">
        <f t="shared" ca="1" si="2"/>
        <v>45945</v>
      </c>
      <c r="C42" s="2">
        <v>14</v>
      </c>
      <c r="D42" s="6" t="s">
        <v>112</v>
      </c>
      <c r="E42" s="5" t="s">
        <v>57</v>
      </c>
      <c r="F42" s="199" t="s">
        <v>136</v>
      </c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</row>
    <row r="43" spans="1:18" ht="15.75" x14ac:dyDescent="0.25">
      <c r="A43" s="196">
        <v>19</v>
      </c>
      <c r="B43" s="3">
        <f t="shared" ca="1" si="2"/>
        <v>45945</v>
      </c>
      <c r="C43" s="2">
        <v>14</v>
      </c>
      <c r="D43" s="6" t="s">
        <v>112</v>
      </c>
      <c r="E43" s="5" t="s">
        <v>57</v>
      </c>
      <c r="F43" s="199" t="s">
        <v>137</v>
      </c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</row>
    <row r="44" spans="1:18" ht="15.75" x14ac:dyDescent="0.25">
      <c r="A44" s="196">
        <v>20</v>
      </c>
      <c r="B44" s="3">
        <f t="shared" ca="1" si="2"/>
        <v>45945</v>
      </c>
      <c r="C44" s="2">
        <v>14</v>
      </c>
      <c r="D44" s="6" t="s">
        <v>112</v>
      </c>
      <c r="E44" s="5" t="s">
        <v>57</v>
      </c>
      <c r="F44" s="199" t="s">
        <v>138</v>
      </c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</row>
    <row r="45" spans="1:18" ht="15.75" x14ac:dyDescent="0.25">
      <c r="A45" s="196">
        <v>21</v>
      </c>
      <c r="B45" s="3">
        <f t="shared" ca="1" si="2"/>
        <v>45945</v>
      </c>
      <c r="C45" s="2">
        <v>14</v>
      </c>
      <c r="D45" s="6" t="s">
        <v>112</v>
      </c>
      <c r="E45" s="5" t="s">
        <v>57</v>
      </c>
      <c r="F45" s="199" t="s">
        <v>139</v>
      </c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</row>
    <row r="46" spans="1:18" ht="15.75" x14ac:dyDescent="0.25">
      <c r="A46" s="196">
        <v>22</v>
      </c>
      <c r="B46" s="3">
        <f t="shared" ca="1" si="2"/>
        <v>45945</v>
      </c>
      <c r="C46" s="2">
        <v>14</v>
      </c>
      <c r="D46" s="6" t="s">
        <v>112</v>
      </c>
      <c r="E46" s="5" t="s">
        <v>57</v>
      </c>
      <c r="F46" s="199" t="s">
        <v>140</v>
      </c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</row>
    <row r="47" spans="1:18" ht="15.75" x14ac:dyDescent="0.25">
      <c r="A47" s="196">
        <v>23</v>
      </c>
      <c r="B47" s="3">
        <f t="shared" ca="1" si="2"/>
        <v>45945</v>
      </c>
      <c r="C47" s="2">
        <v>14</v>
      </c>
      <c r="D47" s="6" t="s">
        <v>112</v>
      </c>
      <c r="E47" s="5" t="s">
        <v>57</v>
      </c>
      <c r="F47" s="199" t="s">
        <v>141</v>
      </c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</row>
    <row r="48" spans="1:18" ht="15.75" x14ac:dyDescent="0.25">
      <c r="A48" s="196">
        <v>24</v>
      </c>
      <c r="B48" s="3">
        <f t="shared" ca="1" si="2"/>
        <v>45945</v>
      </c>
      <c r="C48" s="2">
        <v>14</v>
      </c>
      <c r="D48" s="6" t="s">
        <v>112</v>
      </c>
      <c r="E48" s="5" t="s">
        <v>57</v>
      </c>
      <c r="F48" s="199" t="s">
        <v>142</v>
      </c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</row>
    <row r="49" spans="1:18" ht="15.75" x14ac:dyDescent="0.25">
      <c r="A49" s="196">
        <v>25</v>
      </c>
      <c r="B49" s="3">
        <f t="shared" ca="1" si="2"/>
        <v>45945</v>
      </c>
      <c r="C49" s="2">
        <v>14</v>
      </c>
      <c r="D49" s="6" t="s">
        <v>112</v>
      </c>
      <c r="E49" s="5" t="s">
        <v>57</v>
      </c>
      <c r="F49" s="199" t="s">
        <v>143</v>
      </c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</row>
    <row r="50" spans="1:18" ht="15.75" x14ac:dyDescent="0.25">
      <c r="A50" s="196">
        <v>26</v>
      </c>
      <c r="B50" s="3">
        <f t="shared" ca="1" si="2"/>
        <v>45945</v>
      </c>
      <c r="C50" s="2">
        <v>14</v>
      </c>
      <c r="D50" s="6" t="s">
        <v>112</v>
      </c>
      <c r="E50" s="5" t="s">
        <v>57</v>
      </c>
      <c r="F50" s="199" t="s">
        <v>144</v>
      </c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</row>
    <row r="51" spans="1:18" ht="15.75" x14ac:dyDescent="0.25">
      <c r="A51" s="196">
        <v>27</v>
      </c>
      <c r="B51" s="3">
        <f t="shared" ca="1" si="2"/>
        <v>45945</v>
      </c>
      <c r="C51" s="2">
        <v>14</v>
      </c>
      <c r="D51" s="6" t="s">
        <v>112</v>
      </c>
      <c r="E51" s="5" t="s">
        <v>57</v>
      </c>
      <c r="F51" s="199" t="s">
        <v>145</v>
      </c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</row>
    <row r="52" spans="1:18" ht="15.75" x14ac:dyDescent="0.25">
      <c r="A52" s="196">
        <v>28</v>
      </c>
      <c r="B52" s="3">
        <f t="shared" ca="1" si="2"/>
        <v>45945</v>
      </c>
      <c r="C52" s="2">
        <v>14</v>
      </c>
      <c r="D52" s="6" t="s">
        <v>112</v>
      </c>
      <c r="E52" s="5" t="s">
        <v>57</v>
      </c>
      <c r="F52" s="199" t="s">
        <v>147</v>
      </c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</row>
    <row r="53" spans="1:18" ht="16.5" thickBot="1" x14ac:dyDescent="0.3">
      <c r="A53" s="200">
        <v>29</v>
      </c>
      <c r="B53" s="201">
        <f t="shared" ca="1" si="2"/>
        <v>45945</v>
      </c>
      <c r="C53" s="202">
        <v>14</v>
      </c>
      <c r="D53" s="203" t="s">
        <v>112</v>
      </c>
      <c r="E53" s="204" t="s">
        <v>57</v>
      </c>
      <c r="F53" s="205" t="s">
        <v>122</v>
      </c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</row>
    <row r="54" spans="1:18" x14ac:dyDescent="0.2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</row>
    <row r="55" spans="1:18" x14ac:dyDescent="0.2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</row>
    <row r="56" spans="1:18" x14ac:dyDescent="0.25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</row>
    <row r="57" spans="1:18" x14ac:dyDescent="0.25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</row>
    <row r="58" spans="1:18" x14ac:dyDescent="0.25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</row>
    <row r="59" spans="1:18" x14ac:dyDescent="0.25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</row>
    <row r="60" spans="1:18" x14ac:dyDescent="0.25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</row>
    <row r="61" spans="1:18" x14ac:dyDescent="0.25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</row>
    <row r="62" spans="1:18" x14ac:dyDescent="0.25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</row>
    <row r="63" spans="1:18" x14ac:dyDescent="0.25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</row>
    <row r="64" spans="1:18" x14ac:dyDescent="0.25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</row>
    <row r="65" spans="1:18" x14ac:dyDescent="0.2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</row>
    <row r="66" spans="1:18" x14ac:dyDescent="0.25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</row>
    <row r="67" spans="1:18" x14ac:dyDescent="0.25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</row>
    <row r="68" spans="1:18" x14ac:dyDescent="0.25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</row>
    <row r="69" spans="1:18" x14ac:dyDescent="0.25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</row>
    <row r="70" spans="1:18" x14ac:dyDescent="0.25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</row>
    <row r="71" spans="1:18" x14ac:dyDescent="0.25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</row>
    <row r="72" spans="1:18" x14ac:dyDescent="0.25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</row>
    <row r="73" spans="1:18" x14ac:dyDescent="0.25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</row>
    <row r="74" spans="1:18" x14ac:dyDescent="0.25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</row>
    <row r="75" spans="1:18" x14ac:dyDescent="0.2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</row>
    <row r="76" spans="1:18" x14ac:dyDescent="0.25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</row>
    <row r="77" spans="1:18" x14ac:dyDescent="0.25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</row>
    <row r="78" spans="1:18" x14ac:dyDescent="0.25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</row>
    <row r="79" spans="1:18" x14ac:dyDescent="0.25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</row>
    <row r="80" spans="1:18" x14ac:dyDescent="0.25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</row>
    <row r="81" spans="1:18" x14ac:dyDescent="0.25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</row>
    <row r="82" spans="1:18" x14ac:dyDescent="0.25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</row>
    <row r="83" spans="1:18" x14ac:dyDescent="0.25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</row>
    <row r="84" spans="1:18" x14ac:dyDescent="0.25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</row>
    <row r="85" spans="1:18" x14ac:dyDescent="0.2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</row>
    <row r="86" spans="1:18" x14ac:dyDescent="0.25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</row>
    <row r="87" spans="1:18" x14ac:dyDescent="0.25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</row>
    <row r="88" spans="1:18" x14ac:dyDescent="0.25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</row>
    <row r="89" spans="1:18" x14ac:dyDescent="0.25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</row>
    <row r="90" spans="1:18" x14ac:dyDescent="0.25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</row>
    <row r="91" spans="1:18" x14ac:dyDescent="0.25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</row>
    <row r="92" spans="1:18" x14ac:dyDescent="0.25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</row>
    <row r="93" spans="1:18" x14ac:dyDescent="0.25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</row>
    <row r="94" spans="1:18" x14ac:dyDescent="0.25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</row>
    <row r="95" spans="1:18" x14ac:dyDescent="0.2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</row>
    <row r="96" spans="1:18" x14ac:dyDescent="0.25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</row>
    <row r="97" spans="1:18" x14ac:dyDescent="0.25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</row>
    <row r="98" spans="1:18" x14ac:dyDescent="0.25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</row>
    <row r="99" spans="1:18" x14ac:dyDescent="0.25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</row>
    <row r="100" spans="1:18" x14ac:dyDescent="0.25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</row>
    <row r="101" spans="1:18" x14ac:dyDescent="0.25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</row>
    <row r="102" spans="1:18" x14ac:dyDescent="0.25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</row>
    <row r="103" spans="1:18" x14ac:dyDescent="0.25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</row>
    <row r="104" spans="1:18" x14ac:dyDescent="0.25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</row>
    <row r="105" spans="1:18" x14ac:dyDescent="0.2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</row>
    <row r="106" spans="1:18" x14ac:dyDescent="0.25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</row>
    <row r="107" spans="1:18" x14ac:dyDescent="0.25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</row>
    <row r="108" spans="1:18" x14ac:dyDescent="0.25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</row>
    <row r="109" spans="1:18" x14ac:dyDescent="0.25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</row>
    <row r="110" spans="1:18" x14ac:dyDescent="0.25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</row>
    <row r="111" spans="1:18" x14ac:dyDescent="0.25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</row>
    <row r="112" spans="1:18" x14ac:dyDescent="0.25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</row>
    <row r="113" spans="1:18" x14ac:dyDescent="0.25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</row>
    <row r="114" spans="1:18" x14ac:dyDescent="0.25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</row>
    <row r="115" spans="1:18" x14ac:dyDescent="0.2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</row>
    <row r="116" spans="1:18" x14ac:dyDescent="0.25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</row>
    <row r="117" spans="1:18" x14ac:dyDescent="0.25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</row>
    <row r="118" spans="1:18" x14ac:dyDescent="0.25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</row>
    <row r="119" spans="1:18" x14ac:dyDescent="0.25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</row>
    <row r="120" spans="1:18" x14ac:dyDescent="0.25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</row>
    <row r="121" spans="1:18" x14ac:dyDescent="0.25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</row>
    <row r="122" spans="1:18" x14ac:dyDescent="0.25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</row>
    <row r="123" spans="1:18" x14ac:dyDescent="0.25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</row>
    <row r="124" spans="1:18" x14ac:dyDescent="0.25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</row>
    <row r="125" spans="1:18" x14ac:dyDescent="0.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</row>
    <row r="126" spans="1:18" x14ac:dyDescent="0.25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</row>
    <row r="127" spans="1:18" x14ac:dyDescent="0.25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</row>
    <row r="128" spans="1:18" x14ac:dyDescent="0.25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</row>
    <row r="129" spans="1:18" x14ac:dyDescent="0.25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</row>
    <row r="130" spans="1:18" x14ac:dyDescent="0.25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</row>
    <row r="131" spans="1:18" x14ac:dyDescent="0.25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</row>
    <row r="132" spans="1:18" x14ac:dyDescent="0.25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</row>
    <row r="133" spans="1:18" x14ac:dyDescent="0.25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</row>
    <row r="134" spans="1:18" x14ac:dyDescent="0.25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</row>
    <row r="135" spans="1:18" x14ac:dyDescent="0.2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</row>
    <row r="136" spans="1:18" x14ac:dyDescent="0.25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</row>
    <row r="137" spans="1:18" x14ac:dyDescent="0.25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</row>
    <row r="138" spans="1:18" x14ac:dyDescent="0.25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</row>
    <row r="139" spans="1:18" x14ac:dyDescent="0.25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</row>
    <row r="140" spans="1:18" x14ac:dyDescent="0.25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</row>
    <row r="141" spans="1:18" x14ac:dyDescent="0.25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</row>
    <row r="142" spans="1:18" x14ac:dyDescent="0.25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</row>
    <row r="143" spans="1:18" x14ac:dyDescent="0.25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</row>
    <row r="144" spans="1:18" x14ac:dyDescent="0.25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</row>
    <row r="145" spans="1:18" x14ac:dyDescent="0.2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</row>
    <row r="146" spans="1:18" x14ac:dyDescent="0.25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</row>
    <row r="147" spans="1:18" x14ac:dyDescent="0.25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</row>
    <row r="148" spans="1:18" x14ac:dyDescent="0.25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</row>
    <row r="149" spans="1:18" x14ac:dyDescent="0.25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</row>
    <row r="150" spans="1:18" x14ac:dyDescent="0.25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</row>
    <row r="151" spans="1:18" x14ac:dyDescent="0.25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</row>
    <row r="152" spans="1:18" x14ac:dyDescent="0.25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</row>
    <row r="153" spans="1:18" x14ac:dyDescent="0.25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</row>
    <row r="154" spans="1:18" x14ac:dyDescent="0.25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</row>
    <row r="155" spans="1:18" x14ac:dyDescent="0.2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</row>
    <row r="156" spans="1:18" x14ac:dyDescent="0.25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</row>
    <row r="157" spans="1:18" x14ac:dyDescent="0.25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</row>
    <row r="158" spans="1:18" x14ac:dyDescent="0.25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</row>
    <row r="159" spans="1:18" x14ac:dyDescent="0.25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</row>
    <row r="160" spans="1:18" x14ac:dyDescent="0.25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</row>
    <row r="161" spans="1:18" x14ac:dyDescent="0.25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</row>
    <row r="162" spans="1:18" x14ac:dyDescent="0.25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</row>
    <row r="163" spans="1:18" x14ac:dyDescent="0.25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</row>
    <row r="164" spans="1:18" x14ac:dyDescent="0.25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</row>
    <row r="165" spans="1:18" x14ac:dyDescent="0.2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</row>
    <row r="166" spans="1:18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</row>
    <row r="167" spans="1:18" x14ac:dyDescent="0.25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</row>
    <row r="168" spans="1:18" x14ac:dyDescent="0.25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</row>
    <row r="169" spans="1:18" x14ac:dyDescent="0.25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</row>
    <row r="170" spans="1:18" x14ac:dyDescent="0.25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</row>
    <row r="171" spans="1:18" x14ac:dyDescent="0.25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</row>
    <row r="172" spans="1:18" x14ac:dyDescent="0.25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</row>
    <row r="173" spans="1:18" x14ac:dyDescent="0.25"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</row>
    <row r="174" spans="1:18" x14ac:dyDescent="0.25"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</row>
    <row r="175" spans="1:18" x14ac:dyDescent="0.25"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</row>
    <row r="176" spans="1:18" x14ac:dyDescent="0.25"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</row>
    <row r="177" spans="7:18" x14ac:dyDescent="0.25"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</row>
    <row r="178" spans="7:18" x14ac:dyDescent="0.25"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</row>
    <row r="179" spans="7:18" x14ac:dyDescent="0.25"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</row>
    <row r="180" spans="7:18" x14ac:dyDescent="0.25"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</row>
    <row r="181" spans="7:18" x14ac:dyDescent="0.25"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</row>
    <row r="182" spans="7:18" x14ac:dyDescent="0.25"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</row>
    <row r="183" spans="7:18" x14ac:dyDescent="0.25"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</row>
    <row r="184" spans="7:18" x14ac:dyDescent="0.25"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</row>
    <row r="185" spans="7:18" x14ac:dyDescent="0.25"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</row>
    <row r="186" spans="7:18" x14ac:dyDescent="0.25"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</row>
    <row r="187" spans="7:18" x14ac:dyDescent="0.25"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</row>
    <row r="188" spans="7:18" x14ac:dyDescent="0.25"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</row>
    <row r="189" spans="7:18" x14ac:dyDescent="0.25"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</row>
  </sheetData>
  <mergeCells count="3">
    <mergeCell ref="A9:F9"/>
    <mergeCell ref="A14:F14"/>
    <mergeCell ref="A37:F37"/>
  </mergeCells>
  <dataValidations count="2">
    <dataValidation type="list" allowBlank="1" showInputMessage="1" showErrorMessage="1" sqref="E39:E53 E28:E35 E16:E26" xr:uid="{0B0EB8C3-0244-4CDC-89C6-F8BFA7922526}">
      <formula1>"Untrained, In Progress, Retrain, Trained,Proficient"</formula1>
    </dataValidation>
    <dataValidation type="list" allowBlank="1" showInputMessage="1" showErrorMessage="1" sqref="B6:B8" xr:uid="{1652F351-1F6F-498C-8BD8-BE21FFE12773}">
      <formula1>"Yes,No"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3F05-5264-42C3-BA60-F537C347C362}">
  <dimension ref="A1:AA181"/>
  <sheetViews>
    <sheetView tabSelected="1" zoomScale="130" zoomScaleNormal="130" workbookViewId="0">
      <selection activeCell="D2" sqref="D2"/>
    </sheetView>
  </sheetViews>
  <sheetFormatPr defaultRowHeight="15" x14ac:dyDescent="0.25"/>
  <cols>
    <col min="1" max="1" width="29.42578125" bestFit="1" customWidth="1"/>
    <col min="2" max="2" width="25.7109375" bestFit="1" customWidth="1"/>
    <col min="3" max="3" width="17" bestFit="1" customWidth="1"/>
    <col min="4" max="4" width="17.5703125" bestFit="1" customWidth="1"/>
    <col min="5" max="5" width="10.140625" bestFit="1" customWidth="1"/>
    <col min="6" max="6" width="20" customWidth="1"/>
    <col min="7" max="7" width="64.85546875" customWidth="1"/>
    <col min="8" max="16" width="8.7109375" style="104"/>
  </cols>
  <sheetData>
    <row r="1" spans="1:27" ht="15.75" x14ac:dyDescent="0.25">
      <c r="A1" s="181" t="s">
        <v>69</v>
      </c>
      <c r="B1" s="182"/>
      <c r="C1" s="183" t="s">
        <v>87</v>
      </c>
      <c r="D1" s="184">
        <f ca="1">TODAY()</f>
        <v>45945</v>
      </c>
      <c r="E1" s="185"/>
      <c r="F1" s="185"/>
      <c r="G1" s="208"/>
    </row>
    <row r="2" spans="1:27" ht="21" x14ac:dyDescent="0.35">
      <c r="A2" s="187" t="s">
        <v>78</v>
      </c>
      <c r="B2" s="122" t="s">
        <v>624</v>
      </c>
      <c r="C2" s="17" t="s">
        <v>5</v>
      </c>
      <c r="D2" s="6">
        <f>VLOOKUP(B3,Target,4,0)</f>
        <v>45197</v>
      </c>
      <c r="F2" s="4"/>
      <c r="G2" s="209"/>
    </row>
    <row r="3" spans="1:27" ht="21" x14ac:dyDescent="0.35">
      <c r="A3" s="189" t="s">
        <v>70</v>
      </c>
      <c r="B3" s="122" t="s">
        <v>633</v>
      </c>
      <c r="C3" s="17" t="s">
        <v>12</v>
      </c>
      <c r="D3" s="10">
        <f ca="1">SUM(D2-(TODAY()))</f>
        <v>-748</v>
      </c>
      <c r="E3" s="4"/>
      <c r="F3" s="4"/>
      <c r="G3" s="209"/>
    </row>
    <row r="4" spans="1:27" s="7" customFormat="1" ht="15.75" x14ac:dyDescent="0.25">
      <c r="A4" s="160" t="s">
        <v>426</v>
      </c>
      <c r="B4" s="26" t="s">
        <v>112</v>
      </c>
      <c r="C4" s="26" t="s">
        <v>11</v>
      </c>
      <c r="D4" s="26" t="s">
        <v>200</v>
      </c>
      <c r="E4" s="26" t="s">
        <v>6</v>
      </c>
      <c r="F4" s="26" t="s">
        <v>470</v>
      </c>
      <c r="G4" s="162" t="s">
        <v>427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s="7" customFormat="1" x14ac:dyDescent="0.2">
      <c r="A5" s="211" t="s">
        <v>459</v>
      </c>
      <c r="B5" s="21">
        <f ca="1">TODAY()</f>
        <v>45945</v>
      </c>
      <c r="C5" s="12">
        <v>14</v>
      </c>
      <c r="D5" s="21">
        <f ca="1">SUM(B5+C5)</f>
        <v>45959</v>
      </c>
      <c r="E5" s="12" t="s">
        <v>56</v>
      </c>
      <c r="F5" s="35" t="s">
        <v>460</v>
      </c>
      <c r="G5" s="212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.75" x14ac:dyDescent="0.25">
      <c r="A6" s="190"/>
      <c r="B6" s="191"/>
      <c r="C6" s="4"/>
      <c r="D6" s="4"/>
      <c r="E6" s="4"/>
      <c r="F6" s="4"/>
      <c r="G6" s="213"/>
    </row>
    <row r="7" spans="1:27" s="25" customFormat="1" ht="21" x14ac:dyDescent="0.35">
      <c r="A7" s="192" t="s">
        <v>91</v>
      </c>
      <c r="B7" s="31" t="s">
        <v>595</v>
      </c>
      <c r="C7" s="91"/>
      <c r="D7" s="91"/>
      <c r="E7" s="91"/>
      <c r="F7" s="91"/>
      <c r="G7" s="159"/>
    </row>
    <row r="8" spans="1:27" s="25" customFormat="1" ht="15.75" x14ac:dyDescent="0.25">
      <c r="A8" s="160" t="s">
        <v>35</v>
      </c>
      <c r="B8" s="31"/>
      <c r="C8" s="91"/>
      <c r="D8" s="91"/>
      <c r="E8" s="91"/>
      <c r="F8" s="91"/>
      <c r="G8" s="159"/>
    </row>
    <row r="9" spans="1:27" s="25" customFormat="1" ht="15.75" x14ac:dyDescent="0.25">
      <c r="A9" s="161" t="s">
        <v>622</v>
      </c>
      <c r="B9" s="31"/>
      <c r="C9" s="91"/>
      <c r="D9" s="207"/>
      <c r="E9" s="91"/>
      <c r="F9" s="91"/>
      <c r="G9" s="159"/>
    </row>
    <row r="10" spans="1:27" ht="15.75" x14ac:dyDescent="0.25">
      <c r="A10" s="190"/>
      <c r="B10" s="191"/>
      <c r="C10" s="4"/>
      <c r="D10" s="4"/>
      <c r="E10" s="4"/>
      <c r="F10" s="4"/>
      <c r="G10" s="209"/>
      <c r="Q10" s="104"/>
      <c r="R10" s="104"/>
    </row>
    <row r="11" spans="1:27" s="25" customFormat="1" ht="15.75" x14ac:dyDescent="0.25">
      <c r="A11" s="268" t="s">
        <v>348</v>
      </c>
      <c r="B11" s="268"/>
      <c r="C11" s="268"/>
      <c r="D11" s="268"/>
      <c r="E11" s="268"/>
      <c r="F11" s="268"/>
      <c r="G11" s="268"/>
    </row>
    <row r="12" spans="1:27" s="25" customFormat="1" ht="15.75" x14ac:dyDescent="0.25">
      <c r="A12" s="226"/>
      <c r="B12" s="66" t="s">
        <v>112</v>
      </c>
      <c r="C12" s="66" t="s">
        <v>11</v>
      </c>
      <c r="D12" s="66" t="s">
        <v>200</v>
      </c>
      <c r="E12" s="66" t="s">
        <v>6</v>
      </c>
      <c r="F12" s="304" t="s">
        <v>585</v>
      </c>
      <c r="G12" s="305"/>
    </row>
    <row r="13" spans="1:27" s="25" customFormat="1" ht="15.75" x14ac:dyDescent="0.25">
      <c r="A13" s="156"/>
      <c r="B13" s="101"/>
      <c r="C13" s="101"/>
      <c r="D13" s="101"/>
      <c r="E13" s="101"/>
      <c r="F13" s="306"/>
      <c r="G13" s="307"/>
    </row>
    <row r="14" spans="1:27" s="25" customFormat="1" ht="15.75" x14ac:dyDescent="0.25">
      <c r="A14" s="156"/>
      <c r="B14" s="101"/>
      <c r="C14" s="101"/>
      <c r="D14" s="101"/>
      <c r="E14" s="101"/>
      <c r="F14" s="306"/>
      <c r="G14" s="307"/>
    </row>
    <row r="15" spans="1:27" ht="15.75" x14ac:dyDescent="0.25">
      <c r="A15" s="190"/>
      <c r="B15" s="191"/>
      <c r="C15" s="4"/>
      <c r="D15" s="4"/>
      <c r="E15" s="4"/>
      <c r="F15" s="4"/>
      <c r="G15" s="209"/>
      <c r="Q15" s="104"/>
      <c r="R15" s="104"/>
    </row>
    <row r="16" spans="1:27" ht="15.75" x14ac:dyDescent="0.25">
      <c r="A16" s="268" t="s">
        <v>0</v>
      </c>
      <c r="B16" s="268"/>
      <c r="C16" s="268"/>
      <c r="D16" s="268"/>
      <c r="E16" s="268"/>
      <c r="F16" s="268"/>
      <c r="G16" s="268"/>
    </row>
    <row r="17" spans="1:7" ht="15.75" x14ac:dyDescent="0.25">
      <c r="A17" s="226" t="s">
        <v>111</v>
      </c>
      <c r="B17" s="227" t="s">
        <v>112</v>
      </c>
      <c r="C17" s="227" t="s">
        <v>11</v>
      </c>
      <c r="D17" s="227" t="s">
        <v>200</v>
      </c>
      <c r="E17" s="227" t="s">
        <v>6</v>
      </c>
      <c r="F17" s="304" t="s">
        <v>585</v>
      </c>
      <c r="G17" s="305"/>
    </row>
    <row r="18" spans="1:7" ht="15.75" x14ac:dyDescent="0.25">
      <c r="A18" s="196">
        <v>1</v>
      </c>
      <c r="B18" s="3">
        <f ca="1">TODAY()</f>
        <v>45945</v>
      </c>
      <c r="C18" s="2">
        <v>14</v>
      </c>
      <c r="D18" s="6">
        <f ca="1">SUM(B18+C18)</f>
        <v>45959</v>
      </c>
      <c r="E18" s="5" t="s">
        <v>10</v>
      </c>
      <c r="F18" s="306"/>
      <c r="G18" s="307"/>
    </row>
    <row r="19" spans="1:7" ht="15.75" x14ac:dyDescent="0.25">
      <c r="A19" s="196">
        <v>2</v>
      </c>
      <c r="B19" s="3">
        <f ca="1">TODAY()</f>
        <v>45945</v>
      </c>
      <c r="C19" s="2">
        <v>14</v>
      </c>
      <c r="D19" s="6">
        <f ca="1">SUM(B19+C19)</f>
        <v>45959</v>
      </c>
      <c r="E19" s="5" t="s">
        <v>10</v>
      </c>
      <c r="F19" s="306"/>
      <c r="G19" s="307"/>
    </row>
    <row r="20" spans="1:7" ht="15.75" x14ac:dyDescent="0.25">
      <c r="A20" s="196">
        <v>3</v>
      </c>
      <c r="B20" s="3">
        <f ca="1">TODAY()</f>
        <v>45945</v>
      </c>
      <c r="C20" s="2">
        <v>14</v>
      </c>
      <c r="D20" s="6">
        <f ca="1">SUM(B20+C20)</f>
        <v>45959</v>
      </c>
      <c r="E20" s="5" t="s">
        <v>10</v>
      </c>
      <c r="F20" s="306"/>
      <c r="G20" s="307"/>
    </row>
    <row r="21" spans="1:7" ht="15.75" x14ac:dyDescent="0.25">
      <c r="A21" s="196">
        <v>4</v>
      </c>
      <c r="B21" s="3">
        <f ca="1">TODAY()</f>
        <v>45945</v>
      </c>
      <c r="C21" s="2">
        <v>14</v>
      </c>
      <c r="D21" s="6">
        <f ca="1">SUM(B21+C21)</f>
        <v>45959</v>
      </c>
      <c r="E21" s="5" t="s">
        <v>10</v>
      </c>
      <c r="F21" s="306"/>
      <c r="G21" s="307"/>
    </row>
    <row r="22" spans="1:7" ht="15.75" x14ac:dyDescent="0.25">
      <c r="A22" s="196">
        <v>5</v>
      </c>
      <c r="B22" s="3">
        <f ca="1">TODAY()</f>
        <v>45945</v>
      </c>
      <c r="C22" s="2">
        <v>14</v>
      </c>
      <c r="D22" s="6">
        <f ca="1">SUM(B22+C22)</f>
        <v>45959</v>
      </c>
      <c r="E22" s="5" t="s">
        <v>10</v>
      </c>
      <c r="F22" s="306"/>
      <c r="G22" s="307"/>
    </row>
    <row r="23" spans="1:7" ht="15.75" x14ac:dyDescent="0.25">
      <c r="A23" s="217"/>
      <c r="B23" s="220"/>
      <c r="C23" s="218"/>
      <c r="D23" s="221"/>
      <c r="E23" s="222"/>
      <c r="F23" s="218"/>
      <c r="G23" s="213"/>
    </row>
    <row r="24" spans="1:7" ht="15.75" x14ac:dyDescent="0.25">
      <c r="A24" s="160" t="s">
        <v>110</v>
      </c>
      <c r="B24" s="1" t="s">
        <v>112</v>
      </c>
      <c r="C24" s="1" t="s">
        <v>11</v>
      </c>
      <c r="D24" s="1" t="s">
        <v>200</v>
      </c>
      <c r="E24" s="1" t="s">
        <v>6</v>
      </c>
      <c r="F24" s="258" t="s">
        <v>585</v>
      </c>
      <c r="G24" s="258"/>
    </row>
    <row r="25" spans="1:7" ht="15.75" x14ac:dyDescent="0.25">
      <c r="A25" s="196">
        <v>1</v>
      </c>
      <c r="B25" s="3">
        <f ca="1">TODAY()</f>
        <v>45945</v>
      </c>
      <c r="C25" s="2">
        <v>14</v>
      </c>
      <c r="D25" s="6">
        <f ca="1">SUM(B25+C25)</f>
        <v>45959</v>
      </c>
      <c r="E25" s="5" t="s">
        <v>10</v>
      </c>
      <c r="F25" s="306"/>
      <c r="G25" s="306"/>
    </row>
    <row r="26" spans="1:7" ht="15.75" x14ac:dyDescent="0.25">
      <c r="A26" s="196">
        <v>2</v>
      </c>
      <c r="B26" s="3">
        <f ca="1">TODAY()</f>
        <v>45945</v>
      </c>
      <c r="C26" s="2">
        <v>14</v>
      </c>
      <c r="D26" s="6">
        <f ca="1">SUM(B26+C26)</f>
        <v>45959</v>
      </c>
      <c r="E26" s="5" t="s">
        <v>10</v>
      </c>
      <c r="F26" s="306"/>
      <c r="G26" s="306"/>
    </row>
    <row r="27" spans="1:7" ht="15.75" x14ac:dyDescent="0.25">
      <c r="A27" s="196">
        <v>3</v>
      </c>
      <c r="B27" s="3">
        <f ca="1">TODAY()</f>
        <v>45945</v>
      </c>
      <c r="C27" s="2">
        <v>14</v>
      </c>
      <c r="D27" s="6">
        <f ca="1">SUM(B27+C27)</f>
        <v>45959</v>
      </c>
      <c r="E27" s="5" t="s">
        <v>10</v>
      </c>
      <c r="F27" s="306"/>
      <c r="G27" s="306"/>
    </row>
    <row r="28" spans="1:7" ht="15.75" x14ac:dyDescent="0.25">
      <c r="A28" s="196">
        <v>4</v>
      </c>
      <c r="B28" s="3">
        <f ca="1">TODAY()</f>
        <v>45945</v>
      </c>
      <c r="C28" s="2">
        <v>14</v>
      </c>
      <c r="D28" s="6">
        <f ca="1">SUM(B28+C28)</f>
        <v>45959</v>
      </c>
      <c r="E28" s="5" t="s">
        <v>10</v>
      </c>
      <c r="F28" s="306"/>
      <c r="G28" s="306"/>
    </row>
    <row r="29" spans="1:7" ht="15.75" x14ac:dyDescent="0.25">
      <c r="A29" s="196">
        <v>5</v>
      </c>
      <c r="B29" s="3">
        <f ca="1">TODAY()</f>
        <v>45945</v>
      </c>
      <c r="C29" s="2">
        <v>14</v>
      </c>
      <c r="D29" s="6">
        <f ca="1">SUM(B29+C29)</f>
        <v>45959</v>
      </c>
      <c r="E29" s="5" t="s">
        <v>10</v>
      </c>
      <c r="F29" s="306"/>
      <c r="G29" s="307"/>
    </row>
    <row r="30" spans="1:7" ht="15.75" x14ac:dyDescent="0.25">
      <c r="A30" s="194"/>
      <c r="B30" s="220"/>
      <c r="C30" s="218"/>
      <c r="D30" s="221"/>
      <c r="E30" s="222"/>
      <c r="F30" s="218"/>
      <c r="G30" s="213"/>
    </row>
    <row r="31" spans="1:7" ht="15.75" x14ac:dyDescent="0.25">
      <c r="A31" s="34" t="s">
        <v>583</v>
      </c>
      <c r="B31" s="1" t="s">
        <v>112</v>
      </c>
      <c r="C31" s="1" t="s">
        <v>11</v>
      </c>
      <c r="D31" s="1" t="s">
        <v>200</v>
      </c>
      <c r="E31" s="1" t="s">
        <v>6</v>
      </c>
      <c r="F31" s="258" t="s">
        <v>585</v>
      </c>
      <c r="G31" s="258"/>
    </row>
    <row r="32" spans="1:7" ht="15.75" x14ac:dyDescent="0.25">
      <c r="A32" s="2">
        <v>1</v>
      </c>
      <c r="B32" s="6">
        <f ca="1">TODAY()</f>
        <v>45945</v>
      </c>
      <c r="C32" s="2">
        <v>14</v>
      </c>
      <c r="D32" s="6">
        <f ca="1">SUM(B32+C32)</f>
        <v>45959</v>
      </c>
      <c r="E32" s="5" t="s">
        <v>10</v>
      </c>
      <c r="F32" s="306"/>
      <c r="G32" s="306"/>
    </row>
    <row r="33" spans="1:7" ht="15.75" x14ac:dyDescent="0.25">
      <c r="A33" s="2">
        <v>2</v>
      </c>
      <c r="B33" s="6">
        <f ca="1">TODAY()</f>
        <v>45945</v>
      </c>
      <c r="C33" s="2">
        <v>14</v>
      </c>
      <c r="D33" s="6">
        <f ca="1">SUM(B33+C33)</f>
        <v>45959</v>
      </c>
      <c r="E33" s="5" t="s">
        <v>10</v>
      </c>
      <c r="F33" s="306"/>
      <c r="G33" s="306"/>
    </row>
    <row r="34" spans="1:7" ht="15.75" x14ac:dyDescent="0.25">
      <c r="A34" s="2">
        <v>3</v>
      </c>
      <c r="B34" s="6">
        <f ca="1">TODAY()</f>
        <v>45945</v>
      </c>
      <c r="C34" s="2">
        <v>14</v>
      </c>
      <c r="D34" s="6">
        <f ca="1">SUM(B34+C34)</f>
        <v>45959</v>
      </c>
      <c r="E34" s="5" t="s">
        <v>10</v>
      </c>
      <c r="F34" s="306"/>
      <c r="G34" s="306"/>
    </row>
    <row r="35" spans="1:7" ht="15.75" x14ac:dyDescent="0.25">
      <c r="A35" s="2">
        <v>4</v>
      </c>
      <c r="B35" s="6">
        <f ca="1">TODAY()</f>
        <v>45945</v>
      </c>
      <c r="C35" s="2">
        <v>14</v>
      </c>
      <c r="D35" s="6">
        <f ca="1">SUM(B35+C35)</f>
        <v>45959</v>
      </c>
      <c r="E35" s="5" t="s">
        <v>10</v>
      </c>
      <c r="F35" s="306"/>
      <c r="G35" s="306"/>
    </row>
    <row r="36" spans="1:7" ht="15.75" x14ac:dyDescent="0.25">
      <c r="A36" s="2">
        <v>5</v>
      </c>
      <c r="B36" s="6">
        <f ca="1">TODAY()</f>
        <v>45945</v>
      </c>
      <c r="C36" s="2">
        <v>14</v>
      </c>
      <c r="D36" s="6">
        <f ca="1">SUM(B36+C36)</f>
        <v>45959</v>
      </c>
      <c r="E36" s="5" t="s">
        <v>10</v>
      </c>
      <c r="F36" s="306"/>
      <c r="G36" s="306"/>
    </row>
    <row r="37" spans="1:7" s="104" customFormat="1" x14ac:dyDescent="0.25"/>
    <row r="38" spans="1:7" s="104" customFormat="1" ht="15.75" x14ac:dyDescent="0.25">
      <c r="B38" s="223"/>
      <c r="C38" s="4"/>
      <c r="D38" s="224"/>
      <c r="E38" s="225"/>
      <c r="F38" s="4"/>
    </row>
    <row r="39" spans="1:7" s="104" customFormat="1" x14ac:dyDescent="0.25"/>
    <row r="40" spans="1:7" s="104" customFormat="1" x14ac:dyDescent="0.25"/>
    <row r="41" spans="1:7" s="104" customFormat="1" x14ac:dyDescent="0.25"/>
    <row r="42" spans="1:7" s="104" customFormat="1" x14ac:dyDescent="0.25"/>
    <row r="43" spans="1:7" s="104" customFormat="1" x14ac:dyDescent="0.25"/>
    <row r="44" spans="1:7" s="104" customFormat="1" x14ac:dyDescent="0.25"/>
    <row r="45" spans="1:7" s="104" customFormat="1" x14ac:dyDescent="0.25"/>
    <row r="46" spans="1:7" s="104" customFormat="1" x14ac:dyDescent="0.25"/>
    <row r="47" spans="1:7" s="104" customFormat="1" x14ac:dyDescent="0.25"/>
    <row r="48" spans="1:7" s="104" customFormat="1" x14ac:dyDescent="0.25"/>
    <row r="49" s="104" customFormat="1" x14ac:dyDescent="0.25"/>
    <row r="50" s="104" customFormat="1" x14ac:dyDescent="0.25"/>
    <row r="51" s="104" customFormat="1" x14ac:dyDescent="0.25"/>
    <row r="52" s="104" customFormat="1" x14ac:dyDescent="0.25"/>
    <row r="53" s="104" customFormat="1" x14ac:dyDescent="0.25"/>
    <row r="54" s="104" customFormat="1" x14ac:dyDescent="0.25"/>
    <row r="55" s="104" customFormat="1" x14ac:dyDescent="0.25"/>
    <row r="56" s="104" customFormat="1" x14ac:dyDescent="0.25"/>
    <row r="57" s="104" customFormat="1" x14ac:dyDescent="0.25"/>
    <row r="58" s="104" customFormat="1" x14ac:dyDescent="0.25"/>
    <row r="59" s="104" customFormat="1" x14ac:dyDescent="0.25"/>
    <row r="60" s="104" customFormat="1" x14ac:dyDescent="0.25"/>
    <row r="61" s="104" customFormat="1" x14ac:dyDescent="0.25"/>
    <row r="62" s="104" customFormat="1" x14ac:dyDescent="0.25"/>
    <row r="63" s="104" customFormat="1" x14ac:dyDescent="0.25"/>
    <row r="64" s="104" customFormat="1" x14ac:dyDescent="0.25"/>
    <row r="65" s="104" customFormat="1" x14ac:dyDescent="0.25"/>
    <row r="66" s="104" customFormat="1" x14ac:dyDescent="0.25"/>
    <row r="67" s="104" customFormat="1" x14ac:dyDescent="0.25"/>
    <row r="68" s="104" customFormat="1" x14ac:dyDescent="0.25"/>
    <row r="69" s="104" customFormat="1" x14ac:dyDescent="0.25"/>
    <row r="70" s="104" customFormat="1" x14ac:dyDescent="0.25"/>
    <row r="71" s="104" customFormat="1" x14ac:dyDescent="0.25"/>
    <row r="72" s="104" customFormat="1" x14ac:dyDescent="0.25"/>
    <row r="73" s="104" customFormat="1" x14ac:dyDescent="0.25"/>
    <row r="74" s="104" customFormat="1" x14ac:dyDescent="0.25"/>
    <row r="75" s="104" customFormat="1" x14ac:dyDescent="0.25"/>
    <row r="76" s="104" customFormat="1" x14ac:dyDescent="0.25"/>
    <row r="77" s="104" customFormat="1" x14ac:dyDescent="0.25"/>
    <row r="78" s="104" customFormat="1" x14ac:dyDescent="0.25"/>
    <row r="79" s="104" customFormat="1" x14ac:dyDescent="0.25"/>
    <row r="80" s="104" customFormat="1" x14ac:dyDescent="0.25"/>
    <row r="81" s="104" customFormat="1" x14ac:dyDescent="0.25"/>
    <row r="82" s="104" customFormat="1" x14ac:dyDescent="0.25"/>
    <row r="83" s="104" customFormat="1" x14ac:dyDescent="0.25"/>
    <row r="84" s="104" customFormat="1" x14ac:dyDescent="0.25"/>
    <row r="85" s="104" customFormat="1" x14ac:dyDescent="0.25"/>
    <row r="86" s="104" customFormat="1" x14ac:dyDescent="0.25"/>
    <row r="87" s="104" customFormat="1" x14ac:dyDescent="0.25"/>
    <row r="88" s="104" customFormat="1" x14ac:dyDescent="0.25"/>
    <row r="89" s="104" customFormat="1" x14ac:dyDescent="0.25"/>
    <row r="90" s="104" customFormat="1" x14ac:dyDescent="0.25"/>
    <row r="91" s="104" customFormat="1" x14ac:dyDescent="0.25"/>
    <row r="92" s="104" customFormat="1" x14ac:dyDescent="0.25"/>
    <row r="93" s="104" customFormat="1" x14ac:dyDescent="0.25"/>
    <row r="94" s="104" customFormat="1" x14ac:dyDescent="0.25"/>
    <row r="95" s="104" customFormat="1" x14ac:dyDescent="0.25"/>
    <row r="96" s="104" customFormat="1" x14ac:dyDescent="0.25"/>
    <row r="97" s="104" customFormat="1" x14ac:dyDescent="0.25"/>
    <row r="98" s="104" customFormat="1" x14ac:dyDescent="0.25"/>
    <row r="99" s="104" customFormat="1" x14ac:dyDescent="0.25"/>
    <row r="100" s="104" customFormat="1" x14ac:dyDescent="0.25"/>
    <row r="101" s="104" customFormat="1" x14ac:dyDescent="0.25"/>
    <row r="102" s="104" customFormat="1" x14ac:dyDescent="0.25"/>
    <row r="103" s="104" customFormat="1" x14ac:dyDescent="0.25"/>
    <row r="104" s="104" customFormat="1" x14ac:dyDescent="0.25"/>
    <row r="105" s="104" customFormat="1" x14ac:dyDescent="0.25"/>
    <row r="106" s="104" customFormat="1" x14ac:dyDescent="0.25"/>
    <row r="107" s="104" customFormat="1" x14ac:dyDescent="0.25"/>
    <row r="108" s="104" customFormat="1" x14ac:dyDescent="0.25"/>
    <row r="109" s="104" customFormat="1" x14ac:dyDescent="0.25"/>
    <row r="110" s="104" customFormat="1" x14ac:dyDescent="0.25"/>
    <row r="111" s="104" customFormat="1" x14ac:dyDescent="0.25"/>
    <row r="112" s="104" customFormat="1" x14ac:dyDescent="0.25"/>
    <row r="113" s="104" customFormat="1" x14ac:dyDescent="0.25"/>
    <row r="114" s="104" customFormat="1" x14ac:dyDescent="0.25"/>
    <row r="115" s="104" customFormat="1" x14ac:dyDescent="0.25"/>
    <row r="116" s="104" customFormat="1" x14ac:dyDescent="0.25"/>
    <row r="117" s="104" customFormat="1" x14ac:dyDescent="0.25"/>
    <row r="118" s="104" customFormat="1" x14ac:dyDescent="0.25"/>
    <row r="119" s="104" customFormat="1" x14ac:dyDescent="0.25"/>
    <row r="120" s="104" customFormat="1" x14ac:dyDescent="0.25"/>
    <row r="121" s="104" customFormat="1" x14ac:dyDescent="0.25"/>
    <row r="122" s="104" customFormat="1" x14ac:dyDescent="0.25"/>
    <row r="123" s="104" customFormat="1" x14ac:dyDescent="0.25"/>
    <row r="124" s="104" customFormat="1" x14ac:dyDescent="0.25"/>
    <row r="125" s="104" customFormat="1" x14ac:dyDescent="0.25"/>
    <row r="126" s="104" customFormat="1" x14ac:dyDescent="0.25"/>
    <row r="127" s="104" customFormat="1" x14ac:dyDescent="0.25"/>
    <row r="128" s="104" customFormat="1" x14ac:dyDescent="0.25"/>
    <row r="129" s="104" customFormat="1" x14ac:dyDescent="0.25"/>
    <row r="130" s="104" customFormat="1" x14ac:dyDescent="0.25"/>
    <row r="131" s="104" customFormat="1" x14ac:dyDescent="0.25"/>
    <row r="132" s="104" customFormat="1" x14ac:dyDescent="0.25"/>
    <row r="133" s="104" customFormat="1" x14ac:dyDescent="0.25"/>
    <row r="134" s="104" customFormat="1" x14ac:dyDescent="0.25"/>
    <row r="135" s="104" customFormat="1" x14ac:dyDescent="0.25"/>
    <row r="136" s="104" customFormat="1" x14ac:dyDescent="0.25"/>
    <row r="137" s="104" customFormat="1" x14ac:dyDescent="0.25"/>
    <row r="138" s="104" customFormat="1" x14ac:dyDescent="0.25"/>
    <row r="139" s="104" customFormat="1" x14ac:dyDescent="0.25"/>
    <row r="140" s="104" customFormat="1" x14ac:dyDescent="0.25"/>
    <row r="141" s="104" customFormat="1" x14ac:dyDescent="0.25"/>
    <row r="142" s="104" customFormat="1" x14ac:dyDescent="0.25"/>
    <row r="143" s="104" customFormat="1" x14ac:dyDescent="0.25"/>
    <row r="144" s="104" customFormat="1" x14ac:dyDescent="0.25"/>
    <row r="145" s="104" customFormat="1" x14ac:dyDescent="0.25"/>
    <row r="146" s="104" customFormat="1" x14ac:dyDescent="0.25"/>
    <row r="147" s="104" customFormat="1" x14ac:dyDescent="0.25"/>
    <row r="148" s="104" customFormat="1" x14ac:dyDescent="0.25"/>
    <row r="149" s="104" customFormat="1" x14ac:dyDescent="0.25"/>
    <row r="150" s="104" customFormat="1" x14ac:dyDescent="0.25"/>
    <row r="151" s="104" customFormat="1" x14ac:dyDescent="0.25"/>
    <row r="152" s="104" customFormat="1" x14ac:dyDescent="0.25"/>
    <row r="153" s="104" customFormat="1" x14ac:dyDescent="0.25"/>
    <row r="154" s="104" customFormat="1" x14ac:dyDescent="0.25"/>
    <row r="155" s="104" customFormat="1" x14ac:dyDescent="0.25"/>
    <row r="156" s="104" customFormat="1" x14ac:dyDescent="0.25"/>
    <row r="157" s="104" customFormat="1" x14ac:dyDescent="0.25"/>
    <row r="158" s="104" customFormat="1" x14ac:dyDescent="0.25"/>
    <row r="159" s="104" customFormat="1" x14ac:dyDescent="0.25"/>
    <row r="160" s="104" customFormat="1" x14ac:dyDescent="0.25"/>
    <row r="161" s="104" customFormat="1" x14ac:dyDescent="0.25"/>
    <row r="162" s="104" customFormat="1" x14ac:dyDescent="0.25"/>
    <row r="163" s="104" customFormat="1" x14ac:dyDescent="0.25"/>
    <row r="164" s="104" customFormat="1" x14ac:dyDescent="0.25"/>
    <row r="165" s="104" customFormat="1" x14ac:dyDescent="0.25"/>
    <row r="166" s="104" customFormat="1" x14ac:dyDescent="0.25"/>
    <row r="167" s="104" customFormat="1" x14ac:dyDescent="0.25"/>
    <row r="168" s="104" customFormat="1" x14ac:dyDescent="0.25"/>
    <row r="169" s="104" customFormat="1" x14ac:dyDescent="0.25"/>
    <row r="170" s="104" customFormat="1" x14ac:dyDescent="0.25"/>
    <row r="171" s="104" customFormat="1" x14ac:dyDescent="0.25"/>
    <row r="172" s="104" customFormat="1" x14ac:dyDescent="0.25"/>
    <row r="173" s="104" customFormat="1" x14ac:dyDescent="0.25"/>
    <row r="174" s="104" customFormat="1" x14ac:dyDescent="0.25"/>
    <row r="175" s="104" customFormat="1" x14ac:dyDescent="0.25"/>
    <row r="176" s="104" customFormat="1" x14ac:dyDescent="0.25"/>
    <row r="177" s="104" customFormat="1" x14ac:dyDescent="0.25"/>
    <row r="178" s="104" customFormat="1" x14ac:dyDescent="0.25"/>
    <row r="179" s="104" customFormat="1" x14ac:dyDescent="0.25"/>
    <row r="180" s="104" customFormat="1" x14ac:dyDescent="0.25"/>
    <row r="181" s="104" customFormat="1" x14ac:dyDescent="0.25"/>
  </sheetData>
  <mergeCells count="23">
    <mergeCell ref="F19:G19"/>
    <mergeCell ref="F20:G20"/>
    <mergeCell ref="F32:G32"/>
    <mergeCell ref="F33:G33"/>
    <mergeCell ref="F34:G34"/>
    <mergeCell ref="F35:G35"/>
    <mergeCell ref="F36:G36"/>
    <mergeCell ref="F17:G17"/>
    <mergeCell ref="F24:G24"/>
    <mergeCell ref="F31:G31"/>
    <mergeCell ref="A11:G11"/>
    <mergeCell ref="A16:G16"/>
    <mergeCell ref="F29:G29"/>
    <mergeCell ref="F21:G21"/>
    <mergeCell ref="F22:G22"/>
    <mergeCell ref="F25:G25"/>
    <mergeCell ref="F26:G26"/>
    <mergeCell ref="F27:G27"/>
    <mergeCell ref="F28:G28"/>
    <mergeCell ref="F12:G12"/>
    <mergeCell ref="F13:G13"/>
    <mergeCell ref="F14:G14"/>
    <mergeCell ref="F18:G18"/>
  </mergeCells>
  <dataValidations count="2">
    <dataValidation type="list" allowBlank="1" showInputMessage="1" showErrorMessage="1" sqref="E32:E36 E38 E5 E18:E23 E25:E30" xr:uid="{BC443DF4-8969-4D97-881F-5706C586BCB2}">
      <formula1>"Untrained, In Progress, Retrain, Trained,Proficient"</formula1>
    </dataValidation>
    <dataValidation type="list" allowBlank="1" showInputMessage="1" showErrorMessage="1" sqref="B8:B10" xr:uid="{13832E80-915D-4FC0-AE34-DD0D8806CFF5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BIO</vt:lpstr>
      <vt:lpstr>Rollup</vt:lpstr>
      <vt:lpstr>Testing Chart</vt:lpstr>
      <vt:lpstr>White Belt</vt:lpstr>
      <vt:lpstr>Yellow Stripe</vt:lpstr>
      <vt:lpstr>Yellow Belt</vt:lpstr>
      <vt:lpstr>blue stripe</vt:lpstr>
      <vt:lpstr>blue belt</vt:lpstr>
      <vt:lpstr>red stripe</vt:lpstr>
      <vt:lpstr>red belt</vt:lpstr>
      <vt:lpstr>Red Stripe Belt</vt:lpstr>
      <vt:lpstr>Brown Belt</vt:lpstr>
      <vt:lpstr>1 Black Stripe</vt:lpstr>
      <vt:lpstr>2 Black Stripes</vt:lpstr>
      <vt:lpstr>3 Black Stripes</vt:lpstr>
      <vt:lpstr>4 Black Stripes</vt:lpstr>
      <vt:lpstr>5 Black Stripes</vt:lpstr>
      <vt:lpstr>6 Black Stripes</vt:lpstr>
      <vt:lpstr>7 Black Stripes</vt:lpstr>
      <vt:lpstr>8 Black Stripes</vt:lpstr>
      <vt:lpstr>Target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Barkle, John E. SFC</dc:creator>
  <cp:lastModifiedBy>john Barkle IV</cp:lastModifiedBy>
  <dcterms:created xsi:type="dcterms:W3CDTF">2022-06-24T17:17:25Z</dcterms:created>
  <dcterms:modified xsi:type="dcterms:W3CDTF">2025-10-15T14:34:13Z</dcterms:modified>
</cp:coreProperties>
</file>